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https://d.docs.live.net/2401923d916e3d7a/Documents/"/>
    </mc:Choice>
  </mc:AlternateContent>
  <xr:revisionPtr revIDLastSave="416" documentId="8_{B293570D-A441-4984-B156-AF39C404BF8E}" xr6:coauthVersionLast="47" xr6:coauthVersionMax="47" xr10:uidLastSave="{CA22150E-FB18-4D5A-AE83-7B19362141AD}"/>
  <bookViews>
    <workbookView xWindow="-108" yWindow="-108" windowWidth="23256" windowHeight="12456" activeTab="4" xr2:uid="{5665E881-2B22-4AB4-B4B6-8989DE5AF4C4}"/>
  </bookViews>
  <sheets>
    <sheet name="superstore_data" sheetId="1" r:id="rId1"/>
    <sheet name="SALES BY CATEGORY" sheetId="2" r:id="rId2"/>
    <sheet name="MONTHLY TREND" sheetId="10" r:id="rId3"/>
    <sheet name="TOP CUSTOMER" sheetId="9" r:id="rId4"/>
    <sheet name="DASHBOARD" sheetId="11" r:id="rId5"/>
  </sheets>
  <definedNames>
    <definedName name="Slicer_Category">#N/A</definedName>
    <definedName name="Slicer_Country">#N/A</definedName>
    <definedName name="Slicer_Region">#N/A</definedName>
  </definedNames>
  <calcPr calcId="0"/>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<sst xmlns="http://schemas.openxmlformats.org/spreadsheetml/2006/main" count="1531" uniqueCount="636">
  <si>
    <t>Ã¯Â»Â¿Row ID</t>
  </si>
  <si>
    <t>Order ID</t>
  </si>
  <si>
    <t>Order Date</t>
  </si>
  <si>
    <t>Ship Date</t>
  </si>
  <si>
    <t>Ship Mode</t>
  </si>
  <si>
    <t>Customer ID</t>
  </si>
  <si>
    <t>Customer Name</t>
  </si>
  <si>
    <t>Segment</t>
  </si>
  <si>
    <t>Postal Code</t>
  </si>
  <si>
    <t>City</t>
  </si>
  <si>
    <t>State</t>
  </si>
  <si>
    <t>Country</t>
  </si>
  <si>
    <t>Region</t>
  </si>
  <si>
    <t>Market</t>
  </si>
  <si>
    <t>Product ID</t>
  </si>
  <si>
    <t>Category</t>
  </si>
  <si>
    <t>Sub-Category</t>
  </si>
  <si>
    <t>Product Name</t>
  </si>
  <si>
    <t>Sales</t>
  </si>
  <si>
    <t>Quantity</t>
  </si>
  <si>
    <t>Discount</t>
  </si>
  <si>
    <t>Profit</t>
  </si>
  <si>
    <t>Shipping Cost</t>
  </si>
  <si>
    <t>Order Priority</t>
  </si>
  <si>
    <t>CA-2014-AB10015140-41954</t>
  </si>
  <si>
    <t>First Class</t>
  </si>
  <si>
    <t>AB-100151402</t>
  </si>
  <si>
    <t>Aaron Bergman</t>
  </si>
  <si>
    <t>Consumer</t>
  </si>
  <si>
    <t>Oklahoma City</t>
  </si>
  <si>
    <t>Oklahoma</t>
  </si>
  <si>
    <t>United States</t>
  </si>
  <si>
    <t>Central US</t>
  </si>
  <si>
    <t>USCA</t>
  </si>
  <si>
    <t>TEC-PH-5816</t>
  </si>
  <si>
    <t>Technology</t>
  </si>
  <si>
    <t>Phones</t>
  </si>
  <si>
    <t>Samsung Convoy 3</t>
  </si>
  <si>
    <t>High</t>
  </si>
  <si>
    <t>IN-2014-JR162107-41675</t>
  </si>
  <si>
    <t>Second Class</t>
  </si>
  <si>
    <t>JR-162107</t>
  </si>
  <si>
    <t>Justin Ritter</t>
  </si>
  <si>
    <t>Corporate</t>
  </si>
  <si>
    <t>Wollongong</t>
  </si>
  <si>
    <t>New South Wales</t>
  </si>
  <si>
    <t>Australia</t>
  </si>
  <si>
    <t>Oceania</t>
  </si>
  <si>
    <t>Asia Pacific</t>
  </si>
  <si>
    <t>FUR-CH-5379</t>
  </si>
  <si>
    <t>Furniture</t>
  </si>
  <si>
    <t>Chairs</t>
  </si>
  <si>
    <t>Novimex Executive Leather Armchair, Black</t>
  </si>
  <si>
    <t>Critical</t>
  </si>
  <si>
    <t>IN-2014-CR127307-41929</t>
  </si>
  <si>
    <t>CR-127307</t>
  </si>
  <si>
    <t>Craig Reiter</t>
  </si>
  <si>
    <t>Brisbane</t>
  </si>
  <si>
    <t>Queensland</t>
  </si>
  <si>
    <t>TEC-PH-5356</t>
  </si>
  <si>
    <t>Nokia Smart Phone, with Caller ID</t>
  </si>
  <si>
    <t>Medium</t>
  </si>
  <si>
    <t>ES-2014-KM1637548-41667</t>
  </si>
  <si>
    <t>KM-1637548</t>
  </si>
  <si>
    <t>Katherine Murray</t>
  </si>
  <si>
    <t>Home Office</t>
  </si>
  <si>
    <t>Berlin</t>
  </si>
  <si>
    <t>Germany</t>
  </si>
  <si>
    <t>Western Europe</t>
  </si>
  <si>
    <t>Europe</t>
  </si>
  <si>
    <t>TEC-PH-5267</t>
  </si>
  <si>
    <t>Motorola Smart Phone, Cordless</t>
  </si>
  <si>
    <t>SG-2014-RH9495111-41948</t>
  </si>
  <si>
    <t>Same Day</t>
  </si>
  <si>
    <t>RH-9495111</t>
  </si>
  <si>
    <t>Rick Hansen</t>
  </si>
  <si>
    <t>Dakar</t>
  </si>
  <si>
    <t>Senegal</t>
  </si>
  <si>
    <t>Western Africa</t>
  </si>
  <si>
    <t>Africa</t>
  </si>
  <si>
    <t>TEC-CO-6011</t>
  </si>
  <si>
    <t>Copiers</t>
  </si>
  <si>
    <t>Sharp Wireless Fax, High-Speed</t>
  </si>
  <si>
    <t>IN-2014-JM156557-41818</t>
  </si>
  <si>
    <t>JM-156557</t>
  </si>
  <si>
    <t>Jim Mitchum</t>
  </si>
  <si>
    <t>Sydney</t>
  </si>
  <si>
    <t>TEC-PH-5842</t>
  </si>
  <si>
    <t>Samsung Smart Phone, with Caller ID</t>
  </si>
  <si>
    <t>IN-2012-TS2134092-41219</t>
  </si>
  <si>
    <t>TS-2134092</t>
  </si>
  <si>
    <t>Toby Swindell</t>
  </si>
  <si>
    <t>Porirua</t>
  </si>
  <si>
    <t>Wellington</t>
  </si>
  <si>
    <t>New Zealand</t>
  </si>
  <si>
    <t>FUR-CH-5378</t>
  </si>
  <si>
    <t>Novimex Executive Leather Armchair, Adjustable</t>
  </si>
  <si>
    <t>IN-2013-MB1808592-41378</t>
  </si>
  <si>
    <t>Standard Class</t>
  </si>
  <si>
    <t>MB-1808592</t>
  </si>
  <si>
    <t>Mick Brown</t>
  </si>
  <si>
    <t>Hamilton</t>
  </si>
  <si>
    <t>Waikato</t>
  </si>
  <si>
    <t>FUR-TA-3764</t>
  </si>
  <si>
    <t>Tables</t>
  </si>
  <si>
    <t>Chromcraft Conference Table, Fully Assembled</t>
  </si>
  <si>
    <t>FUR-BO-5957</t>
  </si>
  <si>
    <t>Bookcases</t>
  </si>
  <si>
    <t>Sauder Facets Collection Library, Sky Alder Finish</t>
  </si>
  <si>
    <t>CA-2012-AB10015140-40974</t>
  </si>
  <si>
    <t>AB-100151404</t>
  </si>
  <si>
    <t>Seattle</t>
  </si>
  <si>
    <t>Washington</t>
  </si>
  <si>
    <t>Western US</t>
  </si>
  <si>
    <t>FUR-CH-4421</t>
  </si>
  <si>
    <t>Global Push Button Manager's Chair, Indigo</t>
  </si>
  <si>
    <t>OFF-AR-5309</t>
  </si>
  <si>
    <t>Office Supplies</t>
  </si>
  <si>
    <t>Art</t>
  </si>
  <si>
    <t>Newell 330</t>
  </si>
  <si>
    <t>ID-2013-AJ107801-41383</t>
  </si>
  <si>
    <t>AJ-107801</t>
  </si>
  <si>
    <t>Anthony Jacobs</t>
  </si>
  <si>
    <t>Kabul</t>
  </si>
  <si>
    <t>Afghanistan</t>
  </si>
  <si>
    <t>Southern Asia</t>
  </si>
  <si>
    <t>FUR-TA-3420</t>
  </si>
  <si>
    <t>Bevis Conference Table, Fully Assembled</t>
  </si>
  <si>
    <t>SA-2012-MM7260110-41269</t>
  </si>
  <si>
    <t>MM-7260110</t>
  </si>
  <si>
    <t>Magdelene Morse</t>
  </si>
  <si>
    <t>Jizan</t>
  </si>
  <si>
    <t>Saudi Arabia</t>
  </si>
  <si>
    <t>Western Asia</t>
  </si>
  <si>
    <t>TEC-PH-3807</t>
  </si>
  <si>
    <t>Cisco Smart Phone, with Caller ID</t>
  </si>
  <si>
    <t>MX-2013-VF2171518-41591</t>
  </si>
  <si>
    <t>VF-2171518</t>
  </si>
  <si>
    <t>Vicky Freymann</t>
  </si>
  <si>
    <t>Toledo</t>
  </si>
  <si>
    <t>Parana</t>
  </si>
  <si>
    <t>Brazil</t>
  </si>
  <si>
    <t>South America</t>
  </si>
  <si>
    <t>LATAM</t>
  </si>
  <si>
    <t>FUR-CH-4530</t>
  </si>
  <si>
    <t>Harbour Creations Executive Leather Armchair, Adjustable</t>
  </si>
  <si>
    <t>IN-2014-PF1912027-41796</t>
  </si>
  <si>
    <t>PF-1912027</t>
  </si>
  <si>
    <t>Peter Fuller</t>
  </si>
  <si>
    <t>Mudanjiang</t>
  </si>
  <si>
    <t>Heilongjiang</t>
  </si>
  <si>
    <t>China</t>
  </si>
  <si>
    <t>Eastern Asia</t>
  </si>
  <si>
    <t>OFF-AP-4959</t>
  </si>
  <si>
    <t>Appliances</t>
  </si>
  <si>
    <t>KitchenAid Microwave, White</t>
  </si>
  <si>
    <t>ES-2015-BP1118545-42216</t>
  </si>
  <si>
    <t>BP-1118545</t>
  </si>
  <si>
    <t>Ben Peterman</t>
  </si>
  <si>
    <t>Paris</t>
  </si>
  <si>
    <t>Ile-de-France</t>
  </si>
  <si>
    <t>France</t>
  </si>
  <si>
    <t>OFF-AP-3575</t>
  </si>
  <si>
    <t>Breville Refrigerator, Red</t>
  </si>
  <si>
    <t>CA-2012-AB10015140-40958</t>
  </si>
  <si>
    <t>Arlington</t>
  </si>
  <si>
    <t>Texas</t>
  </si>
  <si>
    <t>OFF-ST-3078</t>
  </si>
  <si>
    <t>Storage</t>
  </si>
  <si>
    <t>Akro Stacking Bins</t>
  </si>
  <si>
    <t>Low</t>
  </si>
  <si>
    <t>ES-2015-PJ1883564-42255</t>
  </si>
  <si>
    <t>PJ-1883564</t>
  </si>
  <si>
    <t>Patrick Jones</t>
  </si>
  <si>
    <t>Prato</t>
  </si>
  <si>
    <t>Tuscany</t>
  </si>
  <si>
    <t>Italy</t>
  </si>
  <si>
    <t>Southern Europe</t>
  </si>
  <si>
    <t>OFF-AP-4743</t>
  </si>
  <si>
    <t>Hoover Stove, Red</t>
  </si>
  <si>
    <t>IN-2015-JS156857-42035</t>
  </si>
  <si>
    <t>JS-156857</t>
  </si>
  <si>
    <t>Jim Sink</t>
  </si>
  <si>
    <t>Townsville</t>
  </si>
  <si>
    <t>TEC-CO-3597</t>
  </si>
  <si>
    <t>Brother Fax Machine, High-Speed</t>
  </si>
  <si>
    <t>TZ-2015-RH9555129-42343</t>
  </si>
  <si>
    <t>RH-9555129</t>
  </si>
  <si>
    <t>Ritsa Hightower</t>
  </si>
  <si>
    <t>Uvinza</t>
  </si>
  <si>
    <t>Kigoma</t>
  </si>
  <si>
    <t>Tanzania</t>
  </si>
  <si>
    <t>Eastern Africa</t>
  </si>
  <si>
    <t>OFF-AP-4967</t>
  </si>
  <si>
    <t>KitchenAid Stove, White</t>
  </si>
  <si>
    <t>PL-2013-AB600103-41494</t>
  </si>
  <si>
    <t>AB-600103</t>
  </si>
  <si>
    <t>Ann Blume</t>
  </si>
  <si>
    <t>Bytom</t>
  </si>
  <si>
    <t>Silesia</t>
  </si>
  <si>
    <t>Poland</t>
  </si>
  <si>
    <t>Eastern Europe</t>
  </si>
  <si>
    <t>FUR-TA-4644</t>
  </si>
  <si>
    <t>Hon Computer Table, with Bottom Storage</t>
  </si>
  <si>
    <t>OFF-ST-3744</t>
  </si>
  <si>
    <t>Carina 42Hx23 3/4""W Media Storage Unit""</t>
  </si>
  <si>
    <t>IN-2012-JK1532527-41030</t>
  </si>
  <si>
    <t>JK-1532527</t>
  </si>
  <si>
    <t>Jason Klamczynski</t>
  </si>
  <si>
    <t>Suzhou</t>
  </si>
  <si>
    <t>Anhui</t>
  </si>
  <si>
    <t>FUR-CH-5774</t>
  </si>
  <si>
    <t>SAFCO Executive Leather Armchair, Black</t>
  </si>
  <si>
    <t>ES-2014-LB16795139-41697</t>
  </si>
  <si>
    <t>LB-16795139</t>
  </si>
  <si>
    <t>Laurel Beltran</t>
  </si>
  <si>
    <t>Edinburgh</t>
  </si>
  <si>
    <t>Scotland</t>
  </si>
  <si>
    <t>United Kingdom</t>
  </si>
  <si>
    <t>Northern Europe</t>
  </si>
  <si>
    <t>OFF-AP-4960</t>
  </si>
  <si>
    <t>KitchenAid Refrigerator, Black</t>
  </si>
  <si>
    <t>US-2015-NP1832582-42216</t>
  </si>
  <si>
    <t>NP-1832582</t>
  </si>
  <si>
    <t>Naresj Patel</t>
  </si>
  <si>
    <t>JuÃƒÂ¡rez</t>
  </si>
  <si>
    <t>Chihuahua</t>
  </si>
  <si>
    <t>Mexico</t>
  </si>
  <si>
    <t>Central America</t>
  </si>
  <si>
    <t>TEC-PH-5268</t>
  </si>
  <si>
    <t>Motorola Smart Phone, Full Size</t>
  </si>
  <si>
    <t>MX-2015-VD2167039-42252</t>
  </si>
  <si>
    <t>VD-2167039</t>
  </si>
  <si>
    <t>Valerie Dominguez</t>
  </si>
  <si>
    <t>Soyapango</t>
  </si>
  <si>
    <t>San Salvador</t>
  </si>
  <si>
    <t>El Salvador</t>
  </si>
  <si>
    <t>FUR-TA-4643</t>
  </si>
  <si>
    <t>Hon Computer Table, Fully Assembled</t>
  </si>
  <si>
    <t>IN-2012-PB19210127-41259</t>
  </si>
  <si>
    <t>PB-19210127</t>
  </si>
  <si>
    <t>Phillip Breyer</t>
  </si>
  <si>
    <t>Taipei</t>
  </si>
  <si>
    <t>Taipei City</t>
  </si>
  <si>
    <t>Taiwan</t>
  </si>
  <si>
    <t>FUR-TA-5060</t>
  </si>
  <si>
    <t>Lesro Conference Table, with Bottom Storage</t>
  </si>
  <si>
    <t>ES-2012-EB1411048-40981</t>
  </si>
  <si>
    <t>EB-1411048</t>
  </si>
  <si>
    <t>Eugene Barchas</t>
  </si>
  <si>
    <t>Leipzig</t>
  </si>
  <si>
    <t>Saxony</t>
  </si>
  <si>
    <t>CA-2012-AH10030140-41020</t>
  </si>
  <si>
    <t>AH-100301406</t>
  </si>
  <si>
    <t>Aaron Hawkins</t>
  </si>
  <si>
    <t>Troy</t>
  </si>
  <si>
    <t>New York</t>
  </si>
  <si>
    <t>Eastern US</t>
  </si>
  <si>
    <t>OFF-FA-6129</t>
  </si>
  <si>
    <t>Fasteners</t>
  </si>
  <si>
    <t>Staples</t>
  </si>
  <si>
    <t>IN-2013-BP1123058-41329</t>
  </si>
  <si>
    <t>BP-1123058</t>
  </si>
  <si>
    <t>Benjamin Patterson</t>
  </si>
  <si>
    <t>Surat</t>
  </si>
  <si>
    <t>Gujarat</t>
  </si>
  <si>
    <t>India</t>
  </si>
  <si>
    <t>FUR-CH-5443</t>
  </si>
  <si>
    <t>Office Star Executive Leather Armchair, Red</t>
  </si>
  <si>
    <t>US-2012-RR1952536-41270</t>
  </si>
  <si>
    <t>RR-1952536</t>
  </si>
  <si>
    <t>Rick Reed</t>
  </si>
  <si>
    <t>Santo Domingo</t>
  </si>
  <si>
    <t>Dominican Republic</t>
  </si>
  <si>
    <t>Caribbean</t>
  </si>
  <si>
    <t>TEC-PH-5841</t>
  </si>
  <si>
    <t>Samsung Smart Phone, VoIP</t>
  </si>
  <si>
    <t>ES-2013-BS1136545-41472</t>
  </si>
  <si>
    <t>BS-1136545</t>
  </si>
  <si>
    <t>Bill Shonely</t>
  </si>
  <si>
    <t>Saint-Brieuc</t>
  </si>
  <si>
    <t>Brittany</t>
  </si>
  <si>
    <t>TEC-MA-5503</t>
  </si>
  <si>
    <t>Machines</t>
  </si>
  <si>
    <t>Okidata Inkjet, Wireless</t>
  </si>
  <si>
    <t>CA-2013-AH10030140-41635</t>
  </si>
  <si>
    <t>AH-100301404</t>
  </si>
  <si>
    <t>San Francisco</t>
  </si>
  <si>
    <t>California</t>
  </si>
  <si>
    <t>TEC-PH-4389</t>
  </si>
  <si>
    <t>Geemarc AmpliPOWER60</t>
  </si>
  <si>
    <t>IN-2012-DP131057-41215</t>
  </si>
  <si>
    <t>DP-131057</t>
  </si>
  <si>
    <t>Dave Poirier</t>
  </si>
  <si>
    <t>Gold Coast</t>
  </si>
  <si>
    <t>OFF-AP-3579</t>
  </si>
  <si>
    <t>Breville Stove, Red</t>
  </si>
  <si>
    <t>OFF-ST-4291</t>
  </si>
  <si>
    <t>Fellowes Super Stor/Drawer Files</t>
  </si>
  <si>
    <t>CG-2012-AH1003033-41165</t>
  </si>
  <si>
    <t>AH-1003033</t>
  </si>
  <si>
    <t>Kamina</t>
  </si>
  <si>
    <t>Katanga</t>
  </si>
  <si>
    <t>Democratic Republic of the Congo</t>
  </si>
  <si>
    <t>Central Africa</t>
  </si>
  <si>
    <t>TEC-PH-3148</t>
  </si>
  <si>
    <t>Apple Smart Phone, Full Size</t>
  </si>
  <si>
    <t>CA-2012-AH10030140-41041</t>
  </si>
  <si>
    <t>Los Angeles</t>
  </si>
  <si>
    <t>FUR-CH-4840</t>
  </si>
  <si>
    <t>Iceberg Nesting Folding Chair, 19w x 6d x 43h</t>
  </si>
  <si>
    <t>CA-2012-AH10030140-41273</t>
  </si>
  <si>
    <t>New York City</t>
  </si>
  <si>
    <t>TEC-AC-6340</t>
  </si>
  <si>
    <t>Accessories</t>
  </si>
  <si>
    <t>Verbatim 25 GB 6x Blu-ray Single Layer Recordable Disc, 10/Pack</t>
  </si>
  <si>
    <t>ES-2015-PO18865139-42018</t>
  </si>
  <si>
    <t>PO-18865139</t>
  </si>
  <si>
    <t>Patrick O'Donnell</t>
  </si>
  <si>
    <t>Stockton-on-Tees</t>
  </si>
  <si>
    <t>England</t>
  </si>
  <si>
    <t>TEC-CO-3598</t>
  </si>
  <si>
    <t>Brother Fax Machine, Laser</t>
  </si>
  <si>
    <t>IN-2012-DL128657-40918</t>
  </si>
  <si>
    <t>DL-128657</t>
  </si>
  <si>
    <t>Dan Lawera</t>
  </si>
  <si>
    <t>ID-2014-JB1600059-41873</t>
  </si>
  <si>
    <t>JB-1600059</t>
  </si>
  <si>
    <t>Joy Bell-</t>
  </si>
  <si>
    <t>Mataram</t>
  </si>
  <si>
    <t>Nusa Tenggara Barat</t>
  </si>
  <si>
    <t>Indonesia</t>
  </si>
  <si>
    <t>Southeastern Asia</t>
  </si>
  <si>
    <t>IN-2015-BF1100558-42319</t>
  </si>
  <si>
    <t>BF-1100558</t>
  </si>
  <si>
    <t>Barry Franz</t>
  </si>
  <si>
    <t>Gorakhpur</t>
  </si>
  <si>
    <t>Haryana</t>
  </si>
  <si>
    <t>TEC-PH-5269</t>
  </si>
  <si>
    <t>Motorola Smart Phone, with Caller ID</t>
  </si>
  <si>
    <t>IN-2015-VG2180558-42273</t>
  </si>
  <si>
    <t>VG-2180558</t>
  </si>
  <si>
    <t>Vivek Grady</t>
  </si>
  <si>
    <t>Thiruvananthapuram</t>
  </si>
  <si>
    <t>Kerala</t>
  </si>
  <si>
    <t>FUR-BO-5951</t>
  </si>
  <si>
    <t>Sauder Classic Bookcase, Traditional</t>
  </si>
  <si>
    <t>ES-2013-GT14710139-41621</t>
  </si>
  <si>
    <t>GT-14710139</t>
  </si>
  <si>
    <t>Greg Tran</t>
  </si>
  <si>
    <t>Huddersfield</t>
  </si>
  <si>
    <t>IT-2012-ZC2191048-41174</t>
  </si>
  <si>
    <t>ZC-2191048</t>
  </si>
  <si>
    <t>Zuschuss Carroll</t>
  </si>
  <si>
    <t>OFF-AP-3874</t>
  </si>
  <si>
    <t>Cuisinart Stove, Silver</t>
  </si>
  <si>
    <t>CA-2014-AH10030140-41719</t>
  </si>
  <si>
    <t>AH-100301408</t>
  </si>
  <si>
    <t>Gulfport</t>
  </si>
  <si>
    <t>Mississippi</t>
  </si>
  <si>
    <t>Southern US</t>
  </si>
  <si>
    <t>FUR-FU-4072</t>
  </si>
  <si>
    <t>Furnishings</t>
  </si>
  <si>
    <t>Eldon Image Series Desk Accessories, Ebony</t>
  </si>
  <si>
    <t>IT-2014-EB1384045-41706</t>
  </si>
  <si>
    <t>EB-1384045</t>
  </si>
  <si>
    <t>Ellis Ballard</t>
  </si>
  <si>
    <t>Montreuil</t>
  </si>
  <si>
    <t>FUR-CH-5441</t>
  </si>
  <si>
    <t>Office Star Executive Leather Armchair, Adjustable</t>
  </si>
  <si>
    <t>IN-2015-AP1091527-42244</t>
  </si>
  <si>
    <t>AP-1091527</t>
  </si>
  <si>
    <t>Arthur Prichep</t>
  </si>
  <si>
    <t>Shouguang</t>
  </si>
  <si>
    <t>Shandong</t>
  </si>
  <si>
    <t>FUR-CH-5380</t>
  </si>
  <si>
    <t>Novimex Executive Leather Armchair, Red</t>
  </si>
  <si>
    <t>IN-2015-SW2027558-42125</t>
  </si>
  <si>
    <t>SW-2027558</t>
  </si>
  <si>
    <t>Scott Williamson</t>
  </si>
  <si>
    <t>Jamshedpur</t>
  </si>
  <si>
    <t>Jharkhand</t>
  </si>
  <si>
    <t>TEC-MA-5007</t>
  </si>
  <si>
    <t>Konica Inkjet, White</t>
  </si>
  <si>
    <t>MX-2015-JH15820141-42356</t>
  </si>
  <si>
    <t>JH-15820141</t>
  </si>
  <si>
    <t>John Huston</t>
  </si>
  <si>
    <t>PaysandÃƒÂº</t>
  </si>
  <si>
    <t>Uruguay</t>
  </si>
  <si>
    <t>FUR-CH-4531</t>
  </si>
  <si>
    <t>Harbour Creations Executive Leather Armchair, Black</t>
  </si>
  <si>
    <t>US-2012-AH10030140-41206</t>
  </si>
  <si>
    <t>OFF-BI-4372</t>
  </si>
  <si>
    <t>Binders</t>
  </si>
  <si>
    <t>GBC VeloBind Cover Sets</t>
  </si>
  <si>
    <t>IR-2015-TG1164060-42265</t>
  </si>
  <si>
    <t>TG-1164060</t>
  </si>
  <si>
    <t>Trudy Glocke</t>
  </si>
  <si>
    <t>Behshahr</t>
  </si>
  <si>
    <t>Mazandaran</t>
  </si>
  <si>
    <t>Iran</t>
  </si>
  <si>
    <t>TEC-CO-3678</t>
  </si>
  <si>
    <t>Canon Copy Machine, Color</t>
  </si>
  <si>
    <t>OFF-LA-3231</t>
  </si>
  <si>
    <t>Labels</t>
  </si>
  <si>
    <t>Avery 51</t>
  </si>
  <si>
    <t>FUR-BO-5762</t>
  </si>
  <si>
    <t>Safco Classic Bookcase, Pine</t>
  </si>
  <si>
    <t>MZ-2014-DG330087-41991</t>
  </si>
  <si>
    <t>DG-330087</t>
  </si>
  <si>
    <t>Deirdre Greer</t>
  </si>
  <si>
    <t>Maputo</t>
  </si>
  <si>
    <t>Cidade De Maputo</t>
  </si>
  <si>
    <t>Mozambique</t>
  </si>
  <si>
    <t>IN-2013-SG2047058-41424</t>
  </si>
  <si>
    <t>SG-2047058</t>
  </si>
  <si>
    <t>Sheri Gordon</t>
  </si>
  <si>
    <t>Bhopal</t>
  </si>
  <si>
    <t>Madhya Pradesh</t>
  </si>
  <si>
    <t>TEC-CO-4590</t>
  </si>
  <si>
    <t>Hewlett Wireless Fax, Color</t>
  </si>
  <si>
    <t>OFF-BI-2937</t>
  </si>
  <si>
    <t>ACCOHIDE 3-Ring Binder, Blue, 1"</t>
  </si>
  <si>
    <t>IN-2013-GP1474058-41419</t>
  </si>
  <si>
    <t>GP-1474058</t>
  </si>
  <si>
    <t>Guy Phonely</t>
  </si>
  <si>
    <t>Delhi</t>
  </si>
  <si>
    <t>FUR-TA-3766</t>
  </si>
  <si>
    <t>Chromcraft Conference Table, with Bottom Storage</t>
  </si>
  <si>
    <t>IN-2015-MW182207-42221</t>
  </si>
  <si>
    <t>MW-182207</t>
  </si>
  <si>
    <t>Mitch Webber</t>
  </si>
  <si>
    <t>Geraldton</t>
  </si>
  <si>
    <t>Western Australia</t>
  </si>
  <si>
    <t>OFF-AP-3577</t>
  </si>
  <si>
    <t>Breville Refrigerator, White</t>
  </si>
  <si>
    <t>OFF-PA-4014</t>
  </si>
  <si>
    <t>Paper</t>
  </si>
  <si>
    <t>EcoTones Memo Sheets</t>
  </si>
  <si>
    <t>IN-2015-CS1246011-42074</t>
  </si>
  <si>
    <t>CS-1246011</t>
  </si>
  <si>
    <t>Chuck Sachs</t>
  </si>
  <si>
    <t>Dhaka</t>
  </si>
  <si>
    <t>Bangladesh</t>
  </si>
  <si>
    <t>FUR-BO-5760</t>
  </si>
  <si>
    <t>Safco Classic Bookcase, Metal</t>
  </si>
  <si>
    <t>CA-2015-AH10030140-42357</t>
  </si>
  <si>
    <t>Philadelphia</t>
  </si>
  <si>
    <t>Pennsylvania</t>
  </si>
  <si>
    <t>OFF-AR-3276</t>
  </si>
  <si>
    <t>Avery Fluorescent Highlighter Four-Color Set</t>
  </si>
  <si>
    <t>ES-2015-MS1798048-42227</t>
  </si>
  <si>
    <t>MS-1798048</t>
  </si>
  <si>
    <t>Michael Stewart</t>
  </si>
  <si>
    <t>Munster</t>
  </si>
  <si>
    <t>Lower Saxony</t>
  </si>
  <si>
    <t>TEC-PH-5839</t>
  </si>
  <si>
    <t>Samsung Smart Phone, Cordless</t>
  </si>
  <si>
    <t>IT-2014-KC1667548-41882</t>
  </si>
  <si>
    <t>KC-1667548</t>
  </si>
  <si>
    <t>Kimberly Carter</t>
  </si>
  <si>
    <t>Celle</t>
  </si>
  <si>
    <t>TEC-PH-3130</t>
  </si>
  <si>
    <t>Apple Audio Dock, with Caller ID</t>
  </si>
  <si>
    <t>IN-2015-DB1340527-42022</t>
  </si>
  <si>
    <t>DB-1340527</t>
  </si>
  <si>
    <t>Denny Blanton</t>
  </si>
  <si>
    <t>Wuxi</t>
  </si>
  <si>
    <t>Jiangsu</t>
  </si>
  <si>
    <t>CA-2015-AS10045140-42007</t>
  </si>
  <si>
    <t>AS-100451408</t>
  </si>
  <si>
    <t>Aaron Smayling</t>
  </si>
  <si>
    <t>Jacksonville</t>
  </si>
  <si>
    <t>North Carolina</t>
  </si>
  <si>
    <t>TEC-MA-3788</t>
  </si>
  <si>
    <t>Cisco CP-7937G Unified IP Conference Station Phone</t>
  </si>
  <si>
    <t>IT-2015-DK13090120-42345</t>
  </si>
  <si>
    <t>DK-13090120</t>
  </si>
  <si>
    <t>Dave Kipp</t>
  </si>
  <si>
    <t>Seville</t>
  </si>
  <si>
    <t>AndalusÃƒÂ­a</t>
  </si>
  <si>
    <t>Spain</t>
  </si>
  <si>
    <t>IN-2015-CS1184558-42354</t>
  </si>
  <si>
    <t>CS-1184558</t>
  </si>
  <si>
    <t>Cari Sayre</t>
  </si>
  <si>
    <t>Raipur</t>
  </si>
  <si>
    <t>Uttarakhand</t>
  </si>
  <si>
    <t>FUR-TA-3779</t>
  </si>
  <si>
    <t>Chromcraft Wood Table, Rectangular</t>
  </si>
  <si>
    <t>MX-2015-EM1420082-42328</t>
  </si>
  <si>
    <t>EM-1420082</t>
  </si>
  <si>
    <t>Evan Minnotte</t>
  </si>
  <si>
    <t>GÃƒÂ³mez Palacio</t>
  </si>
  <si>
    <t>Durango</t>
  </si>
  <si>
    <t>UP-2012-DW3480137-41221</t>
  </si>
  <si>
    <t>DW-3480137</t>
  </si>
  <si>
    <t>Dianna Wilson</t>
  </si>
  <si>
    <t>Kharkiv</t>
  </si>
  <si>
    <t>Ukraine</t>
  </si>
  <si>
    <t>FUR-TA-3771</t>
  </si>
  <si>
    <t>Chromcraft Round Table, Rectangular</t>
  </si>
  <si>
    <t>IN-2014-AS1022527-41797</t>
  </si>
  <si>
    <t>AS-1022527</t>
  </si>
  <si>
    <t>Alan Schoenberger</t>
  </si>
  <si>
    <t>Jinan</t>
  </si>
  <si>
    <t>MX-2012-ST2053093-41234</t>
  </si>
  <si>
    <t>ST-2053093</t>
  </si>
  <si>
    <t>Shui Tom</t>
  </si>
  <si>
    <t>Chinandega</t>
  </si>
  <si>
    <t>Nicaragua</t>
  </si>
  <si>
    <t>OFF-AP-4497</t>
  </si>
  <si>
    <t>Hamilton Beach Microwave, Black</t>
  </si>
  <si>
    <t>CG-2014-BW106533-41727</t>
  </si>
  <si>
    <t>BW-106533</t>
  </si>
  <si>
    <t>Barry Weirich</t>
  </si>
  <si>
    <t>Kananga</t>
  </si>
  <si>
    <t>Kasai-Occidental</t>
  </si>
  <si>
    <t>IN-2015-LA1678059-42242</t>
  </si>
  <si>
    <t>LA-1678059</t>
  </si>
  <si>
    <t>Laura Armstrong</t>
  </si>
  <si>
    <t>Palembang</t>
  </si>
  <si>
    <t>Sumatera Selatan</t>
  </si>
  <si>
    <t>FUR-TA-3422</t>
  </si>
  <si>
    <t>Bevis Conference Table, with Bottom Storage</t>
  </si>
  <si>
    <t>ES-2013-AB10150139-41537</t>
  </si>
  <si>
    <t>AB-10150139</t>
  </si>
  <si>
    <t>Aimee Bixby</t>
  </si>
  <si>
    <t>London</t>
  </si>
  <si>
    <t>TEC-PH-5355</t>
  </si>
  <si>
    <t>Nokia Smart Phone, Full Size</t>
  </si>
  <si>
    <t>IN-2015-JH158207-42140</t>
  </si>
  <si>
    <t>JH-158207</t>
  </si>
  <si>
    <t>Melbourne</t>
  </si>
  <si>
    <t>Victoria</t>
  </si>
  <si>
    <t>TEC-PH-3147</t>
  </si>
  <si>
    <t>Apple Smart Phone, Cordless</t>
  </si>
  <si>
    <t>CA-2015-AS10045140-42218</t>
  </si>
  <si>
    <t>AS-100451402</t>
  </si>
  <si>
    <t>Austin</t>
  </si>
  <si>
    <t>TEC-MA-3329</t>
  </si>
  <si>
    <t>Bady BDG101FRU Card Printer</t>
  </si>
  <si>
    <t>ES-2014-BE1141048-41967</t>
  </si>
  <si>
    <t>BE-1141048</t>
  </si>
  <si>
    <t>Bobby Elias</t>
  </si>
  <si>
    <t>Duisburg</t>
  </si>
  <si>
    <t>North Rhine-Westphalia</t>
  </si>
  <si>
    <t>TEC-CO-3599</t>
  </si>
  <si>
    <t>Brother Ink, Color</t>
  </si>
  <si>
    <t>IN-2012-SZ2003527-41221</t>
  </si>
  <si>
    <t>SZ-2003527</t>
  </si>
  <si>
    <t>Sam Zeldin</t>
  </si>
  <si>
    <t>Nanchong</t>
  </si>
  <si>
    <t>Sichuan</t>
  </si>
  <si>
    <t>TEC-CO-6010</t>
  </si>
  <si>
    <t>Sharp Wireless Fax, Digital</t>
  </si>
  <si>
    <t>IN-2012-RM1937558-41209</t>
  </si>
  <si>
    <t>RM-1937558</t>
  </si>
  <si>
    <t>Raymond Messe</t>
  </si>
  <si>
    <t>Naihati</t>
  </si>
  <si>
    <t>West Bengal</t>
  </si>
  <si>
    <t>ES-2015-HG1484545-42327</t>
  </si>
  <si>
    <t>HG-1484545</t>
  </si>
  <si>
    <t>Harry Greene</t>
  </si>
  <si>
    <t>Lille</t>
  </si>
  <si>
    <t>Nord-Pas-de-Calais-Picardie</t>
  </si>
  <si>
    <t>FUR-CH-4654</t>
  </si>
  <si>
    <t>Hon Executive Leather Armchair, Adjustable</t>
  </si>
  <si>
    <t>MO-2015-DP310586-42305</t>
  </si>
  <si>
    <t>DP-310586</t>
  </si>
  <si>
    <t>Meknes</t>
  </si>
  <si>
    <t>MeknÃƒÂ¨s-Tafilalet</t>
  </si>
  <si>
    <t>Morocco</t>
  </si>
  <si>
    <t>North Africa</t>
  </si>
  <si>
    <t>TEC-CO-3710</t>
  </si>
  <si>
    <t>Canon Wireless Fax, Laser</t>
  </si>
  <si>
    <t>CA-2014-AS10045140-41908</t>
  </si>
  <si>
    <t>AS-100451404</t>
  </si>
  <si>
    <t>FUR-BO-3176</t>
  </si>
  <si>
    <t>Atlantic Metals Mobile 4-Shelf Bookcases, Custom Colors</t>
  </si>
  <si>
    <t>US-2015-AS10045140-42252</t>
  </si>
  <si>
    <t>Redmond</t>
  </si>
  <si>
    <t>Oregon</t>
  </si>
  <si>
    <t>OFF-BI-3324</t>
  </si>
  <si>
    <t>Avery Trapezoid Extra Heavy Duty 4 Binders""</t>
  </si>
  <si>
    <t>ES-2014-JB1600048-41668</t>
  </si>
  <si>
    <t>JB-1600048</t>
  </si>
  <si>
    <t>Krefeld</t>
  </si>
  <si>
    <t>ID-2013-AM1070559-41535</t>
  </si>
  <si>
    <t>AM-1070559</t>
  </si>
  <si>
    <t>Anne McFarland</t>
  </si>
  <si>
    <t>Bandung</t>
  </si>
  <si>
    <t>Jawa Barat</t>
  </si>
  <si>
    <t>OFF-AP-4501</t>
  </si>
  <si>
    <t>Hamilton Beach Refrigerator, Black</t>
  </si>
  <si>
    <t>MO-2014-AB25586-41966</t>
  </si>
  <si>
    <t>AB-25586</t>
  </si>
  <si>
    <t>Alejandro Ballentine</t>
  </si>
  <si>
    <t>Casablanca</t>
  </si>
  <si>
    <t>Grand Casablanca</t>
  </si>
  <si>
    <t>OFF-AP-4745</t>
  </si>
  <si>
    <t>Hoover Stove, White</t>
  </si>
  <si>
    <t>IN-2013-RP192707-41438</t>
  </si>
  <si>
    <t>RP-192707</t>
  </si>
  <si>
    <t>Rachel Payne</t>
  </si>
  <si>
    <t>TEC-CO-3611</t>
  </si>
  <si>
    <t>Brother Wireless Fax, Laser</t>
  </si>
  <si>
    <t>IN-2014-BK1126011-41940</t>
  </si>
  <si>
    <t>BK-1126011</t>
  </si>
  <si>
    <t>Berenike Kampe</t>
  </si>
  <si>
    <t>Tongi</t>
  </si>
  <si>
    <t>FUR-BO-4849</t>
  </si>
  <si>
    <t>Ikea Classic Bookcase, Mobile</t>
  </si>
  <si>
    <t>IN-2014-JM1525027-41985</t>
  </si>
  <si>
    <t>JM-1525027</t>
  </si>
  <si>
    <t>Janet Martin</t>
  </si>
  <si>
    <t>CA-2015-AS10045140-42281</t>
  </si>
  <si>
    <t>Pasadena</t>
  </si>
  <si>
    <t>FUR-TA-5066</t>
  </si>
  <si>
    <t>Lesro Sheffield Collection Coffee Table, End Table, Center Table, Corner Table</t>
  </si>
  <si>
    <t>ES-2014-NZ1856545-41975</t>
  </si>
  <si>
    <t>NZ-1856545</t>
  </si>
  <si>
    <t>Nick Zandusky</t>
  </si>
  <si>
    <t>OFF-AP-4508</t>
  </si>
  <si>
    <t>Hamilton Beach Stove, White</t>
  </si>
  <si>
    <t>OFF-BI-3308</t>
  </si>
  <si>
    <t>Avery Recycled Flexi-View Covers for Binding Systems</t>
  </si>
  <si>
    <t>ID-2014-SC20695102-41667</t>
  </si>
  <si>
    <t>SC-20695102</t>
  </si>
  <si>
    <t>Steve Chapman</t>
  </si>
  <si>
    <t>Manila</t>
  </si>
  <si>
    <t>National Capital</t>
  </si>
  <si>
    <t>Philippines</t>
  </si>
  <si>
    <t>Row Labels</t>
  </si>
  <si>
    <t>Grand Total</t>
  </si>
  <si>
    <t>Sum of Sales</t>
  </si>
  <si>
    <t>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</si>
</sst>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4"/>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 #,##0.00"/>
    </dxf>
    <dxf>
      <numFmt numFmtId="164" formatCode="&quot;₹&quot;\ #,##0.00"/>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BY CATEGORY!PivotTable1</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 Sales by Category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'SALES BY CATEGORY'!$A$4:$A$7</c:f>
              <c:strCache>
                <c:ptCount val="3"/>
                <c:pt idx="0">
                  <c:v>Furniture</c:v>
                </c:pt>
                <c:pt idx="1">
                  <c:v>Office Supplies</c:v>
                </c:pt>
                <c:pt idx="2">
                  <c:v>Technology</c:v>
                </c:pt>
              </c:strCache>
            </c:strRef>
          </c:cat>
          <c:val>
            <c:numRef>
              <c:f>'SALES BY CATEGORY'!$B$4:$B$7</c:f>
              <c:numCache>
                <c:formatCode>"₹"\ #,##0.00</c:formatCode>
                <c:ptCount val="3"/>
                <c:pt idx="0">
                  <c:v>86237.62999999999</c:v>
                </c:pt>
                <c:pt idx="1">
                  <c:v>45716.1</c:v>
                </c:pt>
                <c:pt idx="2">
                  <c:v>94308.239999999962</c:v>
                </c:pt>
              </c:numCache>
            </c:numRef>
          </c:val>
          <c:extLst>
            <c:ext xmlns:c16="http://schemas.microsoft.com/office/drawing/2014/chart" uri="{C3380CC4-5D6E-409C-BE32-E72D297353CC}">
              <c16:uniqueId val="{00000000-A161-409C-B7CF-AF8158F9E655}"/>
            </c:ext>
          </c:extLst>
        </c:ser>
        <c:dLbls>
          <c:dLblPos val="outEnd"/>
          <c:showLegendKey val="0"/>
          <c:showVal val="1"/>
          <c:showCatName val="0"/>
          <c:showSerName val="0"/>
          <c:showPercent val="0"/>
          <c:showBubbleSize val="0"/>
        </c:dLbls>
        <c:gapWidth val="269"/>
        <c:overlap val="-20"/>
        <c:axId val="534516607"/>
        <c:axId val="534525247"/>
      </c:barChart>
      <c:catAx>
        <c:axId val="534516607"/>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534525247"/>
        <c:crosses val="autoZero"/>
        <c:auto val="1"/>
        <c:lblAlgn val="ctr"/>
        <c:lblOffset val="100"/>
        <c:noMultiLvlLbl val="0"/>
      </c:catAx>
      <c:valAx>
        <c:axId val="534525247"/>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3451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[sales_dashboard.xlsx]TOP CUSTOMER!PivotTable8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0" i="0" u="none"/>
              <a:t>TOP</a:t>
            </a:r>
            <a:r>
              <a:rPr lang="en-US" sz="1600" b="0" i="0" u="none" baseline="0"/>
              <a:t> CUSTOMERS</a:t>
            </a:r>
            <a:endParaRPr lang="en-US" sz="1600" b="0" i="0" u="none"/>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CUSTOMER'!$B$3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CUSTOMER'!$A$4:$A$73</c:f>
              <c:strCache>
                <c:ptCount val="69"/>
                <c:pt idx="0">
                  <c:v>Patrick Jones</c:v>
                </c:pt>
                <c:pt idx="1">
                  <c:v>Dave Poirier</c:v>
                </c:pt>
                <c:pt idx="2">
                  <c:v>Joy Bell-</c:v>
                </c:pt>
                <c:pt idx="3">
                  <c:v>John Huston</c:v>
                </c:pt>
                <c:pt idx="4">
                  <c:v>Greg Tran</c:v>
                </c:pt>
                <c:pt idx="5">
                  <c:v>Harry Greene</c:v>
                </c:pt>
                <c:pt idx="6">
                  <c:v>Vivek Grady</c:v>
                </c:pt>
                <c:pt idx="7">
                  <c:v>Aaron Hawkins</c:v>
                </c:pt>
                <c:pt idx="8">
                  <c:v>Laurel Beltran</c:v>
                </c:pt>
                <c:pt idx="9">
                  <c:v>Mick Brown</c:v>
                </c:pt>
                <c:pt idx="10">
                  <c:v>Craig Reiter</c:v>
                </c:pt>
                <c:pt idx="11">
                  <c:v>Denny Blanton</c:v>
                </c:pt>
                <c:pt idx="12">
                  <c:v>Anthony Jacobs</c:v>
                </c:pt>
                <c:pt idx="13">
                  <c:v>Barry Franz</c:v>
                </c:pt>
                <c:pt idx="14">
                  <c:v>Michael Stewart</c:v>
                </c:pt>
                <c:pt idx="15">
                  <c:v>Mitch Webber</c:v>
                </c:pt>
                <c:pt idx="16">
                  <c:v>Patrick O'Donnell</c:v>
                </c:pt>
                <c:pt idx="17">
                  <c:v>Phillip Breyer</c:v>
                </c:pt>
                <c:pt idx="18">
                  <c:v>Barry Weirich</c:v>
                </c:pt>
                <c:pt idx="19">
                  <c:v>Berenike Kampe</c:v>
                </c:pt>
                <c:pt idx="20">
                  <c:v>Justin Ritter</c:v>
                </c:pt>
                <c:pt idx="21">
                  <c:v>Peter Fuller</c:v>
                </c:pt>
                <c:pt idx="22">
                  <c:v>Guy Phonely</c:v>
                </c:pt>
                <c:pt idx="23">
                  <c:v>Aimee Bixby</c:v>
                </c:pt>
                <c:pt idx="24">
                  <c:v>Laura Armstrong</c:v>
                </c:pt>
                <c:pt idx="25">
                  <c:v>Ritsa Hightower</c:v>
                </c:pt>
                <c:pt idx="26">
                  <c:v>Alan Schoenberger</c:v>
                </c:pt>
                <c:pt idx="27">
                  <c:v>Sam Zeldin</c:v>
                </c:pt>
                <c:pt idx="28">
                  <c:v>Eugene Barchas</c:v>
                </c:pt>
                <c:pt idx="29">
                  <c:v>Rachel Payne</c:v>
                </c:pt>
                <c:pt idx="30">
                  <c:v>Chuck Sachs</c:v>
                </c:pt>
                <c:pt idx="31">
                  <c:v>Zuschuss Carroll</c:v>
                </c:pt>
                <c:pt idx="32">
                  <c:v>Aaron Smayling</c:v>
                </c:pt>
                <c:pt idx="33">
                  <c:v>Katherine Murray</c:v>
                </c:pt>
                <c:pt idx="34">
                  <c:v>Dan Lawera</c:v>
                </c:pt>
                <c:pt idx="35">
                  <c:v>Jim Mitchum</c:v>
                </c:pt>
                <c:pt idx="36">
                  <c:v>Rick Hansen</c:v>
                </c:pt>
                <c:pt idx="37">
                  <c:v>Arthur Prichep</c:v>
                </c:pt>
                <c:pt idx="38">
                  <c:v>Jason Klamczynski</c:v>
                </c:pt>
                <c:pt idx="39">
                  <c:v>Magdelene Morse</c:v>
                </c:pt>
                <c:pt idx="40">
                  <c:v>Deirdre Greer</c:v>
                </c:pt>
                <c:pt idx="41">
                  <c:v>Jim Sink</c:v>
                </c:pt>
                <c:pt idx="42">
                  <c:v>Anne McFarland</c:v>
                </c:pt>
                <c:pt idx="43">
                  <c:v>Steve Chapman</c:v>
                </c:pt>
                <c:pt idx="44">
                  <c:v>Shui Tom</c:v>
                </c:pt>
                <c:pt idx="45">
                  <c:v>Nick Zandusky</c:v>
                </c:pt>
                <c:pt idx="46">
                  <c:v>Bill Shonely</c:v>
                </c:pt>
                <c:pt idx="47">
                  <c:v>Raymond Messe</c:v>
                </c:pt>
                <c:pt idx="48">
                  <c:v>Alejandro Ballentine</c:v>
                </c:pt>
                <c:pt idx="49">
                  <c:v>Vicky Freymann</c:v>
                </c:pt>
                <c:pt idx="50">
                  <c:v>Dave Kipp</c:v>
                </c:pt>
                <c:pt idx="51">
                  <c:v>Scott Williamson</c:v>
                </c:pt>
                <c:pt idx="52">
                  <c:v>Trudy Glocke</c:v>
                </c:pt>
                <c:pt idx="53">
                  <c:v>Valerie Dominguez</c:v>
                </c:pt>
                <c:pt idx="54">
                  <c:v>Ellis Ballard</c:v>
                </c:pt>
                <c:pt idx="55">
                  <c:v>Ann Blume</c:v>
                </c:pt>
                <c:pt idx="56">
                  <c:v>Cari Sayre</c:v>
                </c:pt>
                <c:pt idx="57">
                  <c:v>Benjamin Patterson</c:v>
                </c:pt>
                <c:pt idx="58">
                  <c:v>Ben Peterman</c:v>
                </c:pt>
                <c:pt idx="59">
                  <c:v>Dianna Wilson</c:v>
                </c:pt>
                <c:pt idx="60">
                  <c:v>Toby Swindell</c:v>
                </c:pt>
                <c:pt idx="61">
                  <c:v>Naresj Patel</c:v>
                </c:pt>
                <c:pt idx="62">
                  <c:v>Evan Minnotte</c:v>
                </c:pt>
                <c:pt idx="63">
                  <c:v>Rick Reed</c:v>
                </c:pt>
                <c:pt idx="64">
                  <c:v>Janet Martin</c:v>
                </c:pt>
                <c:pt idx="65">
                  <c:v>Sheri Gordon</c:v>
                </c:pt>
                <c:pt idx="66">
                  <c:v>Kimberly Carter</c:v>
                </c:pt>
                <c:pt idx="67">
                  <c:v>Bobby Elias</c:v>
                </c:pt>
                <c:pt idx="68">
                  <c:v>Aaron Bergman</c:v>
                </c:pt>
              </c:strCache>
            </c:strRef>
          </c:cat>
          <c:val>
            <c:numRef>
              <c:f>'TOP CUSTOMER'!$B$4:$B$73</c:f>
              <c:numCache>
                <c:formatCode>"₹"\ #,##0.00</c:formatCode>
                <c:ptCount val="69"/>
                <c:pt idx="0">
                  <c:v>7958.58</c:v>
                </c:pt>
                <c:pt idx="1">
                  <c:v>7828.17</c:v>
                </c:pt>
                <c:pt idx="2">
                  <c:v>6420.5</c:v>
                </c:pt>
                <c:pt idx="3">
                  <c:v>6336.49</c:v>
                </c:pt>
                <c:pt idx="4">
                  <c:v>5785.02</c:v>
                </c:pt>
                <c:pt idx="5">
                  <c:v>5729.35</c:v>
                </c:pt>
                <c:pt idx="6">
                  <c:v>5667.87</c:v>
                </c:pt>
                <c:pt idx="7">
                  <c:v>5561.96</c:v>
                </c:pt>
                <c:pt idx="8">
                  <c:v>5273.7</c:v>
                </c:pt>
                <c:pt idx="9">
                  <c:v>5244.84</c:v>
                </c:pt>
                <c:pt idx="10">
                  <c:v>5175.17</c:v>
                </c:pt>
                <c:pt idx="11">
                  <c:v>5049</c:v>
                </c:pt>
                <c:pt idx="12">
                  <c:v>4626.1499999999996</c:v>
                </c:pt>
                <c:pt idx="13">
                  <c:v>4518.78</c:v>
                </c:pt>
                <c:pt idx="14">
                  <c:v>4473</c:v>
                </c:pt>
                <c:pt idx="15">
                  <c:v>4191.51</c:v>
                </c:pt>
                <c:pt idx="16">
                  <c:v>4141.0200000000004</c:v>
                </c:pt>
                <c:pt idx="17">
                  <c:v>3912.66</c:v>
                </c:pt>
                <c:pt idx="18">
                  <c:v>3808.8</c:v>
                </c:pt>
                <c:pt idx="19">
                  <c:v>3728.43</c:v>
                </c:pt>
                <c:pt idx="20">
                  <c:v>3709.4</c:v>
                </c:pt>
                <c:pt idx="21">
                  <c:v>3701.52</c:v>
                </c:pt>
                <c:pt idx="22">
                  <c:v>3662.0699999999997</c:v>
                </c:pt>
                <c:pt idx="23">
                  <c:v>3441.69</c:v>
                </c:pt>
                <c:pt idx="24">
                  <c:v>3427.15</c:v>
                </c:pt>
                <c:pt idx="25">
                  <c:v>3409.74</c:v>
                </c:pt>
                <c:pt idx="26">
                  <c:v>3298.26</c:v>
                </c:pt>
                <c:pt idx="27">
                  <c:v>3200.04</c:v>
                </c:pt>
                <c:pt idx="28">
                  <c:v>3069.74</c:v>
                </c:pt>
                <c:pt idx="29">
                  <c:v>3068.36</c:v>
                </c:pt>
                <c:pt idx="30">
                  <c:v>3063.27</c:v>
                </c:pt>
                <c:pt idx="31">
                  <c:v>3018.62</c:v>
                </c:pt>
                <c:pt idx="32">
                  <c:v>2901.5600000000004</c:v>
                </c:pt>
                <c:pt idx="33">
                  <c:v>2892.51</c:v>
                </c:pt>
                <c:pt idx="34">
                  <c:v>2875.1</c:v>
                </c:pt>
                <c:pt idx="35">
                  <c:v>2862.68</c:v>
                </c:pt>
                <c:pt idx="36">
                  <c:v>2832.96</c:v>
                </c:pt>
                <c:pt idx="37">
                  <c:v>2761.2</c:v>
                </c:pt>
                <c:pt idx="38">
                  <c:v>2754</c:v>
                </c:pt>
                <c:pt idx="39">
                  <c:v>2616.96</c:v>
                </c:pt>
                <c:pt idx="40">
                  <c:v>2582.16</c:v>
                </c:pt>
                <c:pt idx="41">
                  <c:v>2565.59</c:v>
                </c:pt>
                <c:pt idx="42">
                  <c:v>2487.81</c:v>
                </c:pt>
                <c:pt idx="43">
                  <c:v>2465.8200000000002</c:v>
                </c:pt>
                <c:pt idx="44">
                  <c:v>2443.48</c:v>
                </c:pt>
                <c:pt idx="45">
                  <c:v>2432.16</c:v>
                </c:pt>
                <c:pt idx="46">
                  <c:v>2402.87</c:v>
                </c:pt>
                <c:pt idx="47">
                  <c:v>2301</c:v>
                </c:pt>
                <c:pt idx="48">
                  <c:v>2266.44</c:v>
                </c:pt>
                <c:pt idx="49">
                  <c:v>2221.8000000000002</c:v>
                </c:pt>
                <c:pt idx="50">
                  <c:v>2188.0500000000002</c:v>
                </c:pt>
                <c:pt idx="51">
                  <c:v>2174.13</c:v>
                </c:pt>
                <c:pt idx="52">
                  <c:v>2108.64</c:v>
                </c:pt>
                <c:pt idx="53">
                  <c:v>2106.5</c:v>
                </c:pt>
                <c:pt idx="54">
                  <c:v>2092.5</c:v>
                </c:pt>
                <c:pt idx="55">
                  <c:v>1977.72</c:v>
                </c:pt>
                <c:pt idx="56">
                  <c:v>1920.36</c:v>
                </c:pt>
                <c:pt idx="57">
                  <c:v>1878.72</c:v>
                </c:pt>
                <c:pt idx="58">
                  <c:v>1869.59</c:v>
                </c:pt>
                <c:pt idx="59">
                  <c:v>1858.68</c:v>
                </c:pt>
                <c:pt idx="60">
                  <c:v>1822.08</c:v>
                </c:pt>
                <c:pt idx="61">
                  <c:v>1713.84</c:v>
                </c:pt>
                <c:pt idx="62">
                  <c:v>1704</c:v>
                </c:pt>
                <c:pt idx="63">
                  <c:v>1696.64</c:v>
                </c:pt>
                <c:pt idx="64">
                  <c:v>1581.48</c:v>
                </c:pt>
                <c:pt idx="65">
                  <c:v>1526.52</c:v>
                </c:pt>
                <c:pt idx="66">
                  <c:v>1502.01</c:v>
                </c:pt>
                <c:pt idx="67">
                  <c:v>1487.4</c:v>
                </c:pt>
                <c:pt idx="68">
                  <c:v>886.15000000000009</c:v>
                </c:pt>
              </c:numCache>
            </c:numRef>
          </c:val>
          <c:extLst>
            <c:ext xmlns:c16="http://schemas.microsoft.com/office/drawing/2014/chart" uri="{C3380CC4-5D6E-409C-BE32-E72D297353CC}">
              <c16:uniqueId val="{00000000-E6CE-490B-90FD-8D7024C82747}"/>
            </c:ext>
          </c:extLst>
        </c:ser>
        <c:dLbls>
          <c:showLegendKey val="0"/>
          <c:showVal val="0"/>
          <c:showCatName val="0"/>
          <c:showSerName val="0"/>
          <c:showPercent val="0"/>
          <c:showBubbleSize val="0"/>
        </c:dLbls>
        <c:gapWidth val="150"/>
        <c:overlap val="100"/>
        <c:axId val="1557742847"/>
        <c:axId val="1557737087"/>
      </c:barChart>
      <c:catAx>
        <c:axId val="1557742847"/>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737087"/>
        <c:crosses val="autoZero"/>
        <c:auto val="1"/>
        <c:lblAlgn val="ctr"/>
        <c:lblOffset val="100"/>
        <c:noMultiLvlLbl val="0"/>
      </c:catAx>
      <c:valAx>
        <c:axId val="1557737087"/>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7742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[sales_dashboard.xlsx]MONTHLY TREND!PivotTable9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'MONTHLY TREND'!$A$4:$A$85</c:f>
              <c:strCache>
                <c:ptCount val="81"/>
                <c:pt idx="0">
                  <c:v>10-01-2012</c:v>
                </c:pt>
                <c:pt idx="1">
                  <c:v>19-02-2012</c:v>
                </c:pt>
                <c:pt idx="2">
                  <c:v>06-03-2012</c:v>
                </c:pt>
                <c:pt idx="3">
                  <c:v>13-03-2012</c:v>
                </c:pt>
                <c:pt idx="4">
                  <c:v>21-04-2012</c:v>
                </c:pt>
                <c:pt idx="5">
                  <c:v>01-05-2012</c:v>
                </c:pt>
                <c:pt idx="6">
                  <c:v>12-05-2012</c:v>
                </c:pt>
                <c:pt idx="7">
                  <c:v>13-09-2012</c:v>
                </c:pt>
                <c:pt idx="8">
                  <c:v>22-09-2012</c:v>
                </c:pt>
                <c:pt idx="9">
                  <c:v>24-10-2012</c:v>
                </c:pt>
                <c:pt idx="10">
                  <c:v>27-10-2012</c:v>
                </c:pt>
                <c:pt idx="11">
                  <c:v>02-11-2012</c:v>
                </c:pt>
                <c:pt idx="12">
                  <c:v>06-11-2012</c:v>
                </c:pt>
                <c:pt idx="13">
                  <c:v>08-11-2012</c:v>
                </c:pt>
                <c:pt idx="14">
                  <c:v>21-11-2012</c:v>
                </c:pt>
                <c:pt idx="15">
                  <c:v>16-12-2012</c:v>
                </c:pt>
                <c:pt idx="16">
                  <c:v>26-12-2012</c:v>
                </c:pt>
                <c:pt idx="17">
                  <c:v>27-12-2012</c:v>
                </c:pt>
                <c:pt idx="18">
                  <c:v>30-12-2012</c:v>
                </c:pt>
                <c:pt idx="19">
                  <c:v>24-02-2013</c:v>
                </c:pt>
                <c:pt idx="20">
                  <c:v>14-04-2013</c:v>
                </c:pt>
                <c:pt idx="21">
                  <c:v>19-04-2013</c:v>
                </c:pt>
                <c:pt idx="22">
                  <c:v>25-05-2013</c:v>
                </c:pt>
                <c:pt idx="23">
                  <c:v>30-05-2013</c:v>
                </c:pt>
                <c:pt idx="24">
                  <c:v>13-06-2013</c:v>
                </c:pt>
                <c:pt idx="25">
                  <c:v>17-07-2013</c:v>
                </c:pt>
                <c:pt idx="26">
                  <c:v>08-08-2013</c:v>
                </c:pt>
                <c:pt idx="27">
                  <c:v>18-09-2013</c:v>
                </c:pt>
                <c:pt idx="28">
                  <c:v>20-09-2013</c:v>
                </c:pt>
                <c:pt idx="29">
                  <c:v>13-11-2013</c:v>
                </c:pt>
                <c:pt idx="30">
                  <c:v>13-12-2013</c:v>
                </c:pt>
                <c:pt idx="31">
                  <c:v>27-12-2013</c:v>
                </c:pt>
                <c:pt idx="32">
                  <c:v>28-01-2014</c:v>
                </c:pt>
                <c:pt idx="33">
                  <c:v>29-01-2014</c:v>
                </c:pt>
                <c:pt idx="34">
                  <c:v>05-02-2014</c:v>
                </c:pt>
                <c:pt idx="35">
                  <c:v>27-02-2014</c:v>
                </c:pt>
                <c:pt idx="36">
                  <c:v>08-03-2014</c:v>
                </c:pt>
                <c:pt idx="37">
                  <c:v>21-03-2014</c:v>
                </c:pt>
                <c:pt idx="38">
                  <c:v>29-03-2014</c:v>
                </c:pt>
                <c:pt idx="39">
                  <c:v>06-06-2014</c:v>
                </c:pt>
                <c:pt idx="40">
                  <c:v>07-06-2014</c:v>
                </c:pt>
                <c:pt idx="41">
                  <c:v>28-06-2014</c:v>
                </c:pt>
                <c:pt idx="42">
                  <c:v>22-08-2014</c:v>
                </c:pt>
                <c:pt idx="43">
                  <c:v>31-08-2014</c:v>
                </c:pt>
                <c:pt idx="44">
                  <c:v>26-09-2014</c:v>
                </c:pt>
                <c:pt idx="45">
                  <c:v>17-10-2014</c:v>
                </c:pt>
                <c:pt idx="46">
                  <c:v>28-10-2014</c:v>
                </c:pt>
                <c:pt idx="47">
                  <c:v>05-11-2014</c:v>
                </c:pt>
                <c:pt idx="48">
                  <c:v>11-11-2014</c:v>
                </c:pt>
                <c:pt idx="49">
                  <c:v>23-11-2014</c:v>
                </c:pt>
                <c:pt idx="50">
                  <c:v>24-11-2014</c:v>
                </c:pt>
                <c:pt idx="51">
                  <c:v>02-12-2014</c:v>
                </c:pt>
                <c:pt idx="52">
                  <c:v>12-12-2014</c:v>
                </c:pt>
                <c:pt idx="53">
                  <c:v>18-12-2014</c:v>
                </c:pt>
                <c:pt idx="54">
                  <c:v>03-01-2015</c:v>
                </c:pt>
                <c:pt idx="55">
                  <c:v>14-01-2015</c:v>
                </c:pt>
                <c:pt idx="56">
                  <c:v>18-01-2015</c:v>
                </c:pt>
                <c:pt idx="57">
                  <c:v>31-01-2015</c:v>
                </c:pt>
                <c:pt idx="58">
                  <c:v>11-03-2015</c:v>
                </c:pt>
                <c:pt idx="59">
                  <c:v>01-05-2015</c:v>
                </c:pt>
                <c:pt idx="60">
                  <c:v>16-05-2015</c:v>
                </c:pt>
                <c:pt idx="61">
                  <c:v>31-07-2015</c:v>
                </c:pt>
                <c:pt idx="62">
                  <c:v>02-08-2015</c:v>
                </c:pt>
                <c:pt idx="63">
                  <c:v>05-08-2015</c:v>
                </c:pt>
                <c:pt idx="64">
                  <c:v>11-08-2015</c:v>
                </c:pt>
                <c:pt idx="65">
                  <c:v>26-08-2015</c:v>
                </c:pt>
                <c:pt idx="66">
                  <c:v>28-08-2015</c:v>
                </c:pt>
                <c:pt idx="67">
                  <c:v>05-09-2015</c:v>
                </c:pt>
                <c:pt idx="68">
                  <c:v>08-09-2015</c:v>
                </c:pt>
                <c:pt idx="69">
                  <c:v>18-09-2015</c:v>
                </c:pt>
                <c:pt idx="70">
                  <c:v>26-09-2015</c:v>
                </c:pt>
                <c:pt idx="71">
                  <c:v>04-10-2015</c:v>
                </c:pt>
                <c:pt idx="72">
                  <c:v>28-10-2015</c:v>
                </c:pt>
                <c:pt idx="73">
                  <c:v>11-11-2015</c:v>
                </c:pt>
                <c:pt idx="74">
                  <c:v>19-11-2015</c:v>
                </c:pt>
                <c:pt idx="75">
                  <c:v>20-11-2015</c:v>
                </c:pt>
                <c:pt idx="76">
                  <c:v>05-12-2015</c:v>
                </c:pt>
                <c:pt idx="77">
                  <c:v>07-12-2015</c:v>
                </c:pt>
                <c:pt idx="78">
                  <c:v>16-12-2015</c:v>
                </c:pt>
                <c:pt idx="79">
                  <c:v>18-12-2015</c:v>
                </c:pt>
                <c:pt idx="80">
                  <c:v>19-12-2015</c:v>
                </c:pt>
              </c:strCache>
            </c:strRef>
          </c:cat>
          <c:val>
            <c:numRef>
              <c:f>'MONTHLY TREND'!$B$4:$B$85</c:f>
              <c:numCache>
                <c:formatCode>"₹"\ #,##0.00</c:formatCode>
                <c:ptCount val="81"/>
                <c:pt idx="0">
                  <c:v>2875.1</c:v>
                </c:pt>
                <c:pt idx="1">
                  <c:v>12.62</c:v>
                </c:pt>
                <c:pt idx="2">
                  <c:v>309.59000000000003</c:v>
                </c:pt>
                <c:pt idx="3">
                  <c:v>3069.74</c:v>
                </c:pt>
                <c:pt idx="4">
                  <c:v>257.75</c:v>
                </c:pt>
                <c:pt idx="5">
                  <c:v>2754</c:v>
                </c:pt>
                <c:pt idx="6">
                  <c:v>287.45999999999998</c:v>
                </c:pt>
                <c:pt idx="7">
                  <c:v>3817.26</c:v>
                </c:pt>
                <c:pt idx="8">
                  <c:v>3018.62</c:v>
                </c:pt>
                <c:pt idx="9">
                  <c:v>49.41</c:v>
                </c:pt>
                <c:pt idx="10">
                  <c:v>2301</c:v>
                </c:pt>
                <c:pt idx="11">
                  <c:v>2526.9299999999998</c:v>
                </c:pt>
                <c:pt idx="12">
                  <c:v>1822.08</c:v>
                </c:pt>
                <c:pt idx="13">
                  <c:v>5058.72</c:v>
                </c:pt>
                <c:pt idx="14">
                  <c:v>2443.48</c:v>
                </c:pt>
                <c:pt idx="15">
                  <c:v>3912.66</c:v>
                </c:pt>
                <c:pt idx="16">
                  <c:v>2616.96</c:v>
                </c:pt>
                <c:pt idx="17">
                  <c:v>1696.64</c:v>
                </c:pt>
                <c:pt idx="18">
                  <c:v>53.67</c:v>
                </c:pt>
                <c:pt idx="19">
                  <c:v>1878.72</c:v>
                </c:pt>
                <c:pt idx="20">
                  <c:v>5244.84</c:v>
                </c:pt>
                <c:pt idx="21">
                  <c:v>4626.1499999999996</c:v>
                </c:pt>
                <c:pt idx="22">
                  <c:v>3662.0699999999997</c:v>
                </c:pt>
                <c:pt idx="23">
                  <c:v>1526.52</c:v>
                </c:pt>
                <c:pt idx="24">
                  <c:v>3068.36</c:v>
                </c:pt>
                <c:pt idx="25">
                  <c:v>2402.87</c:v>
                </c:pt>
                <c:pt idx="26">
                  <c:v>1977.72</c:v>
                </c:pt>
                <c:pt idx="27">
                  <c:v>2487.81</c:v>
                </c:pt>
                <c:pt idx="28">
                  <c:v>3441.69</c:v>
                </c:pt>
                <c:pt idx="29">
                  <c:v>2221.8000000000002</c:v>
                </c:pt>
                <c:pt idx="30">
                  <c:v>5785.02</c:v>
                </c:pt>
                <c:pt idx="31">
                  <c:v>991.26</c:v>
                </c:pt>
                <c:pt idx="32">
                  <c:v>5358.33</c:v>
                </c:pt>
                <c:pt idx="33">
                  <c:v>3219.9</c:v>
                </c:pt>
                <c:pt idx="34">
                  <c:v>3709.4</c:v>
                </c:pt>
                <c:pt idx="35">
                  <c:v>5273.7</c:v>
                </c:pt>
                <c:pt idx="36">
                  <c:v>2092.5</c:v>
                </c:pt>
                <c:pt idx="37">
                  <c:v>86.45</c:v>
                </c:pt>
                <c:pt idx="38">
                  <c:v>3808.8</c:v>
                </c:pt>
                <c:pt idx="39">
                  <c:v>3701.52</c:v>
                </c:pt>
                <c:pt idx="40">
                  <c:v>3298.26</c:v>
                </c:pt>
                <c:pt idx="41">
                  <c:v>2862.68</c:v>
                </c:pt>
                <c:pt idx="42">
                  <c:v>3200.6</c:v>
                </c:pt>
                <c:pt idx="43">
                  <c:v>1502.01</c:v>
                </c:pt>
                <c:pt idx="44">
                  <c:v>477.67</c:v>
                </c:pt>
                <c:pt idx="45">
                  <c:v>5175.17</c:v>
                </c:pt>
                <c:pt idx="46">
                  <c:v>3728.43</c:v>
                </c:pt>
                <c:pt idx="47">
                  <c:v>2832.96</c:v>
                </c:pt>
                <c:pt idx="48">
                  <c:v>563.93999999999994</c:v>
                </c:pt>
                <c:pt idx="49">
                  <c:v>2266.44</c:v>
                </c:pt>
                <c:pt idx="50">
                  <c:v>1487.4</c:v>
                </c:pt>
                <c:pt idx="51">
                  <c:v>2432.16</c:v>
                </c:pt>
                <c:pt idx="52">
                  <c:v>1581.48</c:v>
                </c:pt>
                <c:pt idx="53">
                  <c:v>2582.16</c:v>
                </c:pt>
                <c:pt idx="54">
                  <c:v>724.55000000000007</c:v>
                </c:pt>
                <c:pt idx="55">
                  <c:v>4141.0200000000004</c:v>
                </c:pt>
                <c:pt idx="56">
                  <c:v>5049</c:v>
                </c:pt>
                <c:pt idx="57">
                  <c:v>2565.59</c:v>
                </c:pt>
                <c:pt idx="58">
                  <c:v>3063.27</c:v>
                </c:pt>
                <c:pt idx="59">
                  <c:v>2174.13</c:v>
                </c:pt>
                <c:pt idx="60">
                  <c:v>2863.35</c:v>
                </c:pt>
                <c:pt idx="61">
                  <c:v>3583.43</c:v>
                </c:pt>
                <c:pt idx="62">
                  <c:v>1439.98</c:v>
                </c:pt>
                <c:pt idx="63">
                  <c:v>4191.51</c:v>
                </c:pt>
                <c:pt idx="64">
                  <c:v>4473</c:v>
                </c:pt>
                <c:pt idx="65">
                  <c:v>3427.15</c:v>
                </c:pt>
                <c:pt idx="66">
                  <c:v>2761.2</c:v>
                </c:pt>
                <c:pt idx="67">
                  <c:v>2194.5700000000002</c:v>
                </c:pt>
                <c:pt idx="68">
                  <c:v>7958.58</c:v>
                </c:pt>
                <c:pt idx="69">
                  <c:v>2108.64</c:v>
                </c:pt>
                <c:pt idx="70">
                  <c:v>5667.87</c:v>
                </c:pt>
                <c:pt idx="71">
                  <c:v>171.29</c:v>
                </c:pt>
                <c:pt idx="72">
                  <c:v>5301.24</c:v>
                </c:pt>
                <c:pt idx="73">
                  <c:v>4518.78</c:v>
                </c:pt>
                <c:pt idx="74">
                  <c:v>5729.35</c:v>
                </c:pt>
                <c:pt idx="75">
                  <c:v>1704</c:v>
                </c:pt>
                <c:pt idx="76">
                  <c:v>3409.74</c:v>
                </c:pt>
                <c:pt idx="77">
                  <c:v>2188.0500000000002</c:v>
                </c:pt>
                <c:pt idx="78">
                  <c:v>1920.36</c:v>
                </c:pt>
                <c:pt idx="79">
                  <c:v>3473.14</c:v>
                </c:pt>
                <c:pt idx="80">
                  <c:v>18.7</c:v>
                </c:pt>
              </c:numCache>
            </c:numRef>
          </c:val>
          <c:smooth val="0"/>
          <c:extLst>
            <c:ext xmlns:c16="http://schemas.microsoft.com/office/drawing/2014/chart" uri="{C3380CC4-5D6E-409C-BE32-E72D297353CC}">
              <c16:uniqueId val="{00000000-3927-4A48-8188-12A98E798FC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9398719"/>
        <c:axId val="69410239"/>
      </c:lineChart>
      <c:catAx>
        <c:axId val="69398719"/>
        <c:scaling>
          <c:orientation val="minMax"/>
        </c:scaling>
        <c:delete val="0"/>
        <c:axPos val="b"/>
        <c:title>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9410239"/>
        <c:crosses val="autoZero"/>
        <c:auto val="1"/>
        <c:lblAlgn val="ctr"/>
        <c:lblOffset val="100"/>
        <c:noMultiLvlLbl val="0"/>
      </c:catAx>
      <c:valAx>
        <c:axId val="69410239"/>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9398719"/>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7620</xdr:rowOff>
    </xdr:from>
    <xdr:to>
      <xdr:col>8</xdr:col>
      <xdr:colOff>251460</xdr:colOff>
      <xdr:row>20</xdr:row>
      <xdr:rowOff>15240</xdr:rowOff>
    </xdr:to>
    <xdr:graphicFrame macro="">
      <xdr:nvGraphicFramePr>
        <xdr:cNvPr id="2" name="Chart 1">
          <a:extLst>
            <a:ext uri="{FF2B5EF4-FFF2-40B4-BE49-F238E27FC236}">
              <a16:creationId xmlns:a16="http://schemas.microsoft.com/office/drawing/2014/main" id="{1EEE5540-0C5D-4F43-A3A6-8E9EBD3CE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259080</xdr:colOff>
      <xdr:row>6</xdr:row>
      <xdr:rowOff>15240</xdr:rowOff>
    </xdr:from>
    <xdr:to>
      <xdr:col>20</xdr:col>
      <xdr:colOff>350520</xdr:colOff>
      <xdr:row>19</xdr:row>
      <xdr:rowOff>175260</xdr:rowOff>
    </xdr:to>
    <xdr:graphicFrame macro="">
      <xdr:nvGraphicFramePr>
        <xdr:cNvPr id="3" name="Chart 2">
          <a:extLst>
            <a:ext uri="{FF2B5EF4-FFF2-40B4-BE49-F238E27FC236}">
              <a16:creationId xmlns:a16="http://schemas.microsoft.com/office/drawing/2014/main" id="{5590E16E-FE72-4CEE-ADBA-B9686D4B93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xdr:rowOff>
    </xdr:from>
    <xdr:to>
      <xdr:col>8</xdr:col>
      <xdr:colOff>243840</xdr:colOff>
      <xdr:row>33</xdr:row>
      <xdr:rowOff>83820</xdr:rowOff>
    </xdr:to>
    <xdr:graphicFrame macro="">
      <xdr:nvGraphicFramePr>
        <xdr:cNvPr id="4" name="Chart 3">
          <a:extLst>
            <a:ext uri="{FF2B5EF4-FFF2-40B4-BE49-F238E27FC236}">
              <a16:creationId xmlns:a16="http://schemas.microsoft.com/office/drawing/2014/main" id="{87D28022-0083-401A-B4E8-289D5F8CA5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259080</xdr:colOff>
      <xdr:row>19</xdr:row>
      <xdr:rowOff>175261</xdr:rowOff>
    </xdr:from>
    <xdr:to>
      <xdr:col>11</xdr:col>
      <xdr:colOff>487680</xdr:colOff>
      <xdr:row>33</xdr:row>
      <xdr:rowOff>76201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A5AB68F0-AD70-406C-BC6A-6CF9DF8D1D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135880" y="3863341"/>
              <a:ext cx="2057400" cy="2461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487680</xdr:colOff>
      <xdr:row>20</xdr:row>
      <xdr:rowOff>22861</xdr:rowOff>
    </xdr:from>
    <xdr:to>
      <xdr:col>15</xdr:col>
      <xdr:colOff>129540</xdr:colOff>
      <xdr:row>33</xdr:row>
      <xdr:rowOff>83820</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EF6D0993-65BF-4DA7-8FD3-6BBC4108C06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193280" y="3893821"/>
              <a:ext cx="2080260" cy="2438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137160</xdr:colOff>
      <xdr:row>20</xdr:row>
      <xdr:rowOff>1</xdr:rowOff>
    </xdr:from>
    <xdr:to>
      <xdr:col>20</xdr:col>
      <xdr:colOff>358140</xdr:colOff>
      <xdr:row>33</xdr:row>
      <xdr:rowOff>83821</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3713B06E-B9C5-4A42-B3B2-C635882B3D9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281160" y="3870961"/>
              <a:ext cx="3268980" cy="2461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ssel sarkar" refreshedDate="46118.540534953703" createdVersion="8" refreshedVersion="8" minRefreshableVersion="3" recordCount="95" xr:uid="{A3A05497-89BA-47ED-982D-A799199C3751}">
  <cacheSource type="worksheet">
    <worksheetSource name="Table1"/>
  </cacheSource>
  <cacheFields count="25">
    <cacheField name="Ã¯Â»Â¿Row ID" numFmtId="0">
      <sharedItems containsSemiMixedTypes="0" containsString="0" containsNumber="1" containsInteger="1" minValue="220" maxValue="50788"/>
    </cacheField>
    <cacheField name="Order ID" numFmtId="0">
      <sharedItems/>
    </cacheField>
    <cacheField name="Order Date" numFmtId="14">
      <sharedItems containsNonDate="0" containsDate="1" containsMixedTypes="1" minDate="2012-01-05T00:00:00" maxDate="2015-12-20T00:00:00" count="157">
        <d v="2014-11-11T00:00:00"/>
        <d v="2014-02-05T00:00:00"/>
        <d v="2014-10-17T00:00:00"/>
        <d v="2014-01-28T00:00:00"/>
        <d v="2014-11-05T00:00:00"/>
        <d v="2014-06-28T00:00:00"/>
        <d v="2012-11-06T00:00:00"/>
        <d v="2013-04-14T00:00:00"/>
        <d v="2012-03-06T00:00:00"/>
        <d v="2013-04-19T00:00:00"/>
        <d v="2012-12-26T00:00:00"/>
        <d v="2013-11-13T00:00:00"/>
        <d v="2014-06-06T00:00:00"/>
        <d v="2015-07-31T00:00:00"/>
        <d v="2012-02-19T00:00:00"/>
        <d v="2015-09-08T00:00:00"/>
        <d v="2015-01-31T00:00:00"/>
        <d v="2015-12-05T00:00:00"/>
        <d v="2013-08-08T00:00:00"/>
        <d v="2012-05-01T00:00:00"/>
        <d v="2014-02-27T00:00:00"/>
        <d v="2015-09-05T00:00:00"/>
        <d v="2012-12-16T00:00:00"/>
        <d v="2012-03-13T00:00:00"/>
        <d v="2012-04-21T00:00:00"/>
        <d v="2013-02-24T00:00:00"/>
        <d v="2012-12-27T00:00:00"/>
        <d v="2013-07-17T00:00:00"/>
        <d v="2013-12-27T00:00:00"/>
        <d v="2012-11-02T00:00:00"/>
        <d v="2012-09-13T00:00:00"/>
        <d v="2012-05-12T00:00:00"/>
        <d v="2012-12-30T00:00:00"/>
        <d v="2015-01-14T00:00:00"/>
        <d v="2012-01-10T00:00:00"/>
        <d v="2014-08-22T00:00:00"/>
        <d v="2015-11-11T00:00:00"/>
        <d v="2015-09-26T00:00:00"/>
        <d v="2013-12-13T00:00:00"/>
        <d v="2012-09-22T00:00:00"/>
        <d v="2014-03-21T00:00:00"/>
        <d v="2014-03-08T00:00:00"/>
        <d v="2015-08-28T00:00:00"/>
        <d v="2015-05-01T00:00:00"/>
        <d v="2015-12-18T00:00:00"/>
        <d v="2012-10-24T00:00:00"/>
        <d v="2015-09-18T00:00:00"/>
        <d v="2014-12-18T00:00:00"/>
        <d v="2013-05-30T00:00:00"/>
        <d v="2013-05-25T00:00:00"/>
        <d v="2015-08-05T00:00:00"/>
        <d v="2015-03-11T00:00:00"/>
        <d v="2015-12-19T00:00:00"/>
        <d v="2015-08-11T00:00:00"/>
        <d v="2014-08-31T00:00:00"/>
        <d v="2015-01-18T00:00:00"/>
        <d v="2015-01-03T00:00:00"/>
        <d v="2015-12-07T00:00:00"/>
        <d v="2015-12-16T00:00:00"/>
        <d v="2015-11-20T00:00:00"/>
        <d v="2012-11-08T00:00:00"/>
        <d v="2014-06-07T00:00:00"/>
        <d v="2012-11-21T00:00:00"/>
        <d v="2014-03-29T00:00:00"/>
        <d v="2015-08-26T00:00:00"/>
        <d v="2013-09-20T00:00:00"/>
        <d v="2015-05-16T00:00:00"/>
        <d v="2015-08-02T00:00:00"/>
        <d v="2014-11-24T00:00:00"/>
        <d v="2012-10-27T00:00:00"/>
        <d v="2015-11-19T00:00:00"/>
        <d v="2015-10-28T00:00:00"/>
        <d v="2014-09-26T00:00:00"/>
        <d v="2014-01-29T00:00:00"/>
        <d v="2013-09-18T00:00:00"/>
        <d v="2014-11-23T00:00:00"/>
        <d v="2013-06-13T00:00:00"/>
        <d v="2014-10-28T00:00:00"/>
        <d v="2014-12-12T00:00:00"/>
        <d v="2015-10-04T00:00:00"/>
        <d v="2014-12-02T00:00:00"/>
        <d v="2014-05-02T00:00:00" u="1"/>
        <s v="10/17/2014" u="1"/>
        <s v="1/28/2014" u="1"/>
        <d v="2014-05-11T00:00:00" u="1"/>
        <s v="6/28/2014" u="1"/>
        <d v="2012-06-11T00:00:00" u="1"/>
        <s v="4/14/2013" u="1"/>
        <d v="2012-06-03T00:00:00" u="1"/>
        <s v="4/19/2013" u="1"/>
        <s v="12/26/2012" u="1"/>
        <s v="11/13/2013" u="1"/>
        <s v="7/31/2015" u="1"/>
        <s v="2/19/2012" u="1"/>
        <d v="2015-08-09T00:00:00" u="1"/>
        <s v="1/31/2015" u="1"/>
        <d v="2015-05-12T00:00:00" u="1"/>
        <d v="2012-01-05T00:00:00" u="1"/>
        <s v="2/27/2014" u="1"/>
        <d v="2015-05-09T00:00:00" u="1"/>
        <s v="12/16/2012" u="1"/>
        <s v="3/13/2012" u="1"/>
        <s v="4/21/2012" u="1"/>
        <s v="2/24/2013" u="1"/>
        <s v="12/27/2012" u="1"/>
        <s v="7/17/2013" u="1"/>
        <s v="12/27/2013" u="1"/>
        <d v="2012-02-11T00:00:00" u="1"/>
        <s v="9/13/2012" u="1"/>
        <d v="2012-12-05T00:00:00" u="1"/>
        <s v="12/30/2012" u="1"/>
        <s v="1/14/2015" u="1"/>
        <d v="2012-10-01T00:00:00" u="1"/>
        <s v="8/22/2014" u="1"/>
        <s v="9/26/2015" u="1"/>
        <s v="12/13/2013" u="1"/>
        <s v="9/22/2012" u="1"/>
        <s v="3/21/2014" u="1"/>
        <d v="2014-08-03T00:00:00" u="1"/>
        <s v="8/28/2015" u="1"/>
        <d v="2015-01-05T00:00:00" u="1"/>
        <s v="12/18/2015" u="1"/>
        <s v="10/24/2012" u="1"/>
        <s v="9/18/2015" u="1"/>
        <s v="12/18/2014" u="1"/>
        <s v="5/30/2013" u="1"/>
        <s v="5/25/2013" u="1"/>
        <d v="2015-05-08T00:00:00" u="1"/>
        <d v="2015-11-03T00:00:00" u="1"/>
        <s v="12/19/2015" u="1"/>
        <d v="2015-11-08T00:00:00" u="1"/>
        <s v="8/31/2014" u="1"/>
        <s v="1/18/2015" u="1"/>
        <d v="2015-03-01T00:00:00" u="1"/>
        <d v="2015-07-12T00:00:00" u="1"/>
        <s v="12/16/2015" u="1"/>
        <s v="11/20/2015" u="1"/>
        <d v="2012-08-11T00:00:00" u="1"/>
        <d v="2014-07-06T00:00:00" u="1"/>
        <s v="11/21/2012" u="1"/>
        <s v="3/29/2014" u="1"/>
        <s v="8/26/2015" u="1"/>
        <s v="9/20/2013" u="1"/>
        <s v="5/16/2015" u="1"/>
        <d v="2015-02-08T00:00:00" u="1"/>
        <s v="11/24/2014" u="1"/>
        <s v="10/27/2012" u="1"/>
        <s v="11/19/2015" u="1"/>
        <s v="10/28/2015" u="1"/>
        <s v="9/26/2014" u="1"/>
        <s v="1/29/2014" u="1"/>
        <s v="9/18/2013" u="1"/>
        <s v="11/23/2014" u="1"/>
        <s v="6/13/2013" u="1"/>
        <s v="10/28/2014" u="1"/>
        <d v="2015-04-10T00:00:00" u="1"/>
        <d v="2014-02-12T00:00:00" u="1"/>
      </sharedItems>
      <fieldGroup par="24"/>
    </cacheField>
    <cacheField name="Ship Date" numFmtId="0">
      <sharedItems containsDate="1" containsMixedTypes="1" minDate="2012-02-05T00:00:00" maxDate="2015-09-11T00:00:00"/>
    </cacheField>
    <cacheField name="Ship Mode" numFmtId="0">
      <sharedItems/>
    </cacheField>
    <cacheField name="Customer ID" numFmtId="0">
      <sharedItems/>
    </cacheField>
    <cacheField name="Customer Name" numFmtId="0">
      <sharedItems count="69">
        <s v="Aaron Bergman"/>
        <s v="Justin Ritter"/>
        <s v="Craig Reiter"/>
        <s v="Katherine Murray"/>
        <s v="Rick Hansen"/>
        <s v="Jim Mitchum"/>
        <s v="Toby Swindell"/>
        <s v="Mick Brown"/>
        <s v="Anthony Jacobs"/>
        <s v="Magdelene Morse"/>
        <s v="Vicky Freymann"/>
        <s v="Peter Fuller"/>
        <s v="Ben Peterman"/>
        <s v="Patrick Jones"/>
        <s v="Jim Sink"/>
        <s v="Ritsa Hightower"/>
        <s v="Ann Blume"/>
        <s v="Jason Klamczynski"/>
        <s v="Laurel Beltran"/>
        <s v="Naresj Patel"/>
        <s v="Valerie Dominguez"/>
        <s v="Phillip Breyer"/>
        <s v="Eugene Barchas"/>
        <s v="Aaron Hawkins"/>
        <s v="Benjamin Patterson"/>
        <s v="Rick Reed"/>
        <s v="Bill Shonely"/>
        <s v="Dave Poirier"/>
        <s v="Patrick O'Donnell"/>
        <s v="Dan Lawera"/>
        <s v="Joy Bell-"/>
        <s v="Barry Franz"/>
        <s v="Vivek Grady"/>
        <s v="Greg Tran"/>
        <s v="Zuschuss Carroll"/>
        <s v="Ellis Ballard"/>
        <s v="Arthur Prichep"/>
        <s v="Scott Williamson"/>
        <s v="John Huston"/>
        <s v="Trudy Glocke"/>
        <s v="Deirdre Greer"/>
        <s v="Sheri Gordon"/>
        <s v="Guy Phonely"/>
        <s v="Mitch Webber"/>
        <s v="Chuck Sachs"/>
        <s v="Michael Stewart"/>
        <s v="Kimberly Carter"/>
        <s v="Denny Blanton"/>
        <s v="Aaron Smayling"/>
        <s v="Dave Kipp"/>
        <s v="Cari Sayre"/>
        <s v="Evan Minnotte"/>
        <s v="Dianna Wilson"/>
        <s v="Alan Schoenberger"/>
        <s v="Shui Tom"/>
        <s v="Barry Weirich"/>
        <s v="Laura Armstrong"/>
        <s v="Aimee Bixby"/>
        <s v="Bobby Elias"/>
        <s v="Sam Zeldin"/>
        <s v="Raymond Messe"/>
        <s v="Harry Greene"/>
        <s v="Anne McFarland"/>
        <s v="Alejandro Ballentine"/>
        <s v="Rachel Payne"/>
        <s v="Berenike Kampe"/>
        <s v="Janet Martin"/>
        <s v="Nick Zandusky"/>
        <s v="Steve Chapman"/>
      </sharedItems>
    </cacheField>
    <cacheField name="Segment" numFmtId="0">
      <sharedItems/>
    </cacheField>
    <cacheField name="Postal Code" numFmtId="0">
      <sharedItems containsString="0" containsBlank="1" containsNumber="1" containsInteger="1" minValue="10035" maxValue="98103"/>
    </cacheField>
    <cacheField name="City" numFmtId="0">
      <sharedItems/>
    </cacheField>
    <cacheField name="State" numFmtId="0">
      <sharedItems/>
    </cacheField>
    <cacheField name="Country" numFmtId="0">
      <sharedItems count="30">
        <s v="United States"/>
        <s v="Australia"/>
        <s v="Germany"/>
        <s v="Senegal"/>
        <s v="New Zealand"/>
        <s v="Afghanistan"/>
        <s v="Saudi Arabia"/>
        <s v="Brazil"/>
        <s v="China"/>
        <s v="France"/>
        <s v="Italy"/>
        <s v="Tanzania"/>
        <s v="Poland"/>
        <s v="United Kingdom"/>
        <s v="Mexico"/>
        <s v="El Salvador"/>
        <s v="Taiwan"/>
        <s v="India"/>
        <s v="Dominican Republic"/>
        <s v="Democratic Republic of the Congo"/>
        <s v="Indonesia"/>
        <s v="Uruguay"/>
        <s v="Iran"/>
        <s v="Mozambique"/>
        <s v="Bangladesh"/>
        <s v="Spain"/>
        <s v="Ukraine"/>
        <s v="Nicaragua"/>
        <s v="Morocco"/>
        <s v="Philippines"/>
      </sharedItems>
    </cacheField>
    <cacheField name="Region" numFmtId="0">
      <sharedItems count="20">
        <s v="Central US"/>
        <s v="Oceania"/>
        <s v="Western Europe"/>
        <s v="Western Africa"/>
        <s v="Western US"/>
        <s v="Southern Asia"/>
        <s v="Western Asia"/>
        <s v="South America"/>
        <s v="Eastern Asia"/>
        <s v="Southern Europe"/>
        <s v="Eastern Africa"/>
        <s v="Eastern Europe"/>
        <s v="Northern Europe"/>
        <s v="Central America"/>
        <s v="Eastern US"/>
        <s v="Caribbean"/>
        <s v="Central Africa"/>
        <s v="Southeastern Asia"/>
        <s v="Southern US"/>
        <s v="North Africa"/>
      </sharedItems>
    </cacheField>
    <cacheField name="Market" numFmtId="0">
      <sharedItems/>
    </cacheField>
    <cacheField name="Product ID" numFmtId="0">
      <sharedItems/>
    </cacheField>
    <cacheField name="Category" numFmtId="0">
      <sharedItems count="3">
        <s v="Technology"/>
        <s v="Furniture"/>
        <s v="Office Supplies"/>
      </sharedItems>
    </cacheField>
    <cacheField name="Sub-Category" numFmtId="0">
      <sharedItems/>
    </cacheField>
    <cacheField name="Product Name" numFmtId="0">
      <sharedItems/>
    </cacheField>
    <cacheField name="Sales" numFmtId="164">
      <sharedItems containsSemiMixedTypes="0" containsString="0" containsNumber="1" minValue="8" maxValue="7958.5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7"/>
    </cacheField>
    <cacheField name="Profit" numFmtId="164">
      <sharedItems containsSemiMixedTypes="0" containsString="0" containsNumber="1" minValue="-452.81" maxValue="3979.08"/>
    </cacheField>
    <cacheField name="Shipping Cost" numFmtId="0">
      <sharedItems containsSemiMixedTypes="0" containsString="0" containsNumber="1" minValue="1.1299999999999999" maxValue="923.63"/>
    </cacheField>
    <cacheField name="Order Priority" numFmtId="0">
      <sharedItems/>
    </cacheField>
    <cacheField name="Order Date2" numFmtId="0" databaseField="0">
      <fieldGroup base="2">
        <discretePr count="157">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76"/>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discretePr>
        <groupItems count="77">
          <d v="2014-05-02T00:00:00"/>
          <s v="10/17/2014"/>
          <s v="1/28/2014"/>
          <d v="2014-05-11T00:00:00"/>
          <s v="6/28/2014"/>
          <d v="2012-06-11T00:00:00"/>
          <s v="4/14/2013"/>
          <d v="2012-06-03T00:00:00"/>
          <s v="4/19/2013"/>
          <s v="12/26/2012"/>
          <s v="11/13/2013"/>
          <s v="7/31/2015"/>
          <s v="2/19/2012"/>
          <d v="2015-08-09T00:00:00"/>
          <s v="1/31/2015"/>
          <d v="2015-05-12T00:00:00"/>
          <d v="2012-01-05T00:00:00"/>
          <s v="2/27/2014"/>
          <d v="2015-05-09T00:00:00"/>
          <s v="12/16/2012"/>
          <s v="3/13/2012"/>
          <s v="4/21/2012"/>
          <s v="2/24/2013"/>
          <s v="12/27/2012"/>
          <s v="7/17/2013"/>
          <s v="12/27/2013"/>
          <d v="2012-02-11T00:00:00"/>
          <s v="9/13/2012"/>
          <d v="2012-12-05T00:00:00"/>
          <s v="12/30/2012"/>
          <s v="1/14/2015"/>
          <d v="2012-10-01T00:00:00"/>
          <s v="8/22/2014"/>
          <s v="9/26/2015"/>
          <s v="12/13/2013"/>
          <s v="9/22/2012"/>
          <s v="3/21/2014"/>
          <d v="2014-08-03T00:00:00"/>
          <s v="8/28/2015"/>
          <d v="2015-01-05T00:00:00"/>
          <s v="12/18/2015"/>
          <s v="10/24/2012"/>
          <s v="9/18/2015"/>
          <s v="12/18/2014"/>
          <s v="5/30/2013"/>
          <s v="5/25/2013"/>
          <d v="2015-05-08T00:00:00"/>
          <d v="2015-11-03T00:00:00"/>
          <s v="12/19/2015"/>
          <d v="2015-11-08T00:00:00"/>
          <s v="8/31/2014"/>
          <s v="1/18/2015"/>
          <d v="2015-03-01T00:00:00"/>
          <d v="2015-07-12T00:00:00"/>
          <s v="12/16/2015"/>
          <s v="11/20/2015"/>
          <d v="2012-08-11T00:00:00"/>
          <d v="2014-07-06T00:00:00"/>
          <s v="11/21/2012"/>
          <s v="3/29/2014"/>
          <s v="8/26/2015"/>
          <s v="9/20/2013"/>
          <s v="5/16/2015"/>
          <d v="2015-02-08T00:00:00"/>
          <s v="11/24/2014"/>
          <s v="10/27/2012"/>
          <s v="11/19/2015"/>
          <s v="10/28/2015"/>
          <s v="9/26/2014"/>
          <s v="1/29/2014"/>
          <s v="9/18/2013"/>
          <s v="11/23/2014"/>
          <s v="6/13/2013"/>
          <s v="10/28/2014"/>
          <d v="2015-04-10T00:00:00"/>
          <d v="2014-02-12T00:00:00"/>
          <s v="Group1"/>
        </groupItems>
      </fieldGroup>
    </cacheField>
  </cacheFields>
  <extLst>
    <ext xmlns:x14="http://schemas.microsoft.com/office/spreadsheetml/2009/9/main" uri="{725AE2AE-9491-48be-B2B4-4EB974FC3084}">
      <x14:pivotCacheDefinition pivotCacheId="1268395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n v="40098"/>
    <s v="CA-2014-AB10015140-41954"/>
    <x v="0"/>
    <s v="11/13/2014"/>
    <s v="First Class"/>
    <s v="AB-100151402"/>
    <x v="0"/>
    <s v="Consumer"/>
    <n v="73120"/>
    <s v="Oklahoma City"/>
    <s v="Oklahoma"/>
    <x v="0"/>
    <x v="0"/>
    <s v="USCA"/>
    <s v="TEC-PH-5816"/>
    <x v="0"/>
    <s v="Phones"/>
    <s v="Samsung Convoy 3"/>
    <n v="221.98"/>
    <n v="2"/>
    <n v="0"/>
    <n v="62.15"/>
    <n v="40.770000000000003"/>
    <s v="High"/>
  </r>
  <r>
    <n v="26341"/>
    <s v="IN-2014-JR162107-41675"/>
    <x v="1"/>
    <d v="2014-07-02T00:00:00"/>
    <s v="Second Class"/>
    <s v="JR-162107"/>
    <x v="1"/>
    <s v="Corporate"/>
    <m/>
    <s v="Wollongong"/>
    <s v="New South Wales"/>
    <x v="1"/>
    <x v="1"/>
    <s v="Asia Pacific"/>
    <s v="FUR-CH-5379"/>
    <x v="1"/>
    <s v="Chairs"/>
    <s v="Novimex Executive Leather Armchair, Black"/>
    <n v="3709.4"/>
    <n v="9"/>
    <n v="0.1"/>
    <n v="-288.77"/>
    <n v="923.63"/>
    <s v="Critical"/>
  </r>
  <r>
    <n v="25330"/>
    <s v="IN-2014-CR127307-41929"/>
    <x v="2"/>
    <s v="10/18/2014"/>
    <s v="First Class"/>
    <s v="CR-127307"/>
    <x v="2"/>
    <s v="Consumer"/>
    <m/>
    <s v="Brisbane"/>
    <s v="Queensland"/>
    <x v="1"/>
    <x v="1"/>
    <s v="Asia Pacific"/>
    <s v="TEC-PH-5356"/>
    <x v="0"/>
    <s v="Phones"/>
    <s v="Nokia Smart Phone, with Caller ID"/>
    <n v="5175.17"/>
    <n v="9"/>
    <n v="0.1"/>
    <n v="919.97"/>
    <n v="915.49"/>
    <s v="Medium"/>
  </r>
  <r>
    <n v="13524"/>
    <s v="ES-2014-KM1637548-41667"/>
    <x v="3"/>
    <s v="1/30/2014"/>
    <s v="First Class"/>
    <s v="KM-1637548"/>
    <x v="3"/>
    <s v="Home Office"/>
    <m/>
    <s v="Berlin"/>
    <s v="Berlin"/>
    <x v="2"/>
    <x v="2"/>
    <s v="Europe"/>
    <s v="TEC-PH-5267"/>
    <x v="0"/>
    <s v="Phones"/>
    <s v="Motorola Smart Phone, Cordless"/>
    <n v="2892.51"/>
    <n v="5"/>
    <n v="0.1"/>
    <n v="-96.54"/>
    <n v="910.16"/>
    <s v="Medium"/>
  </r>
  <r>
    <n v="47221"/>
    <s v="SG-2014-RH9495111-41948"/>
    <x v="4"/>
    <d v="2014-06-11T00:00:00"/>
    <s v="Same Day"/>
    <s v="RH-9495111"/>
    <x v="4"/>
    <s v="Consumer"/>
    <m/>
    <s v="Dakar"/>
    <s v="Dakar"/>
    <x v="3"/>
    <x v="3"/>
    <s v="Africa"/>
    <s v="TEC-CO-6011"/>
    <x v="0"/>
    <s v="Copiers"/>
    <s v="Sharp Wireless Fax, High-Speed"/>
    <n v="2832.96"/>
    <n v="8"/>
    <n v="0"/>
    <n v="311.52"/>
    <n v="903.04"/>
    <s v="Critical"/>
  </r>
  <r>
    <n v="22732"/>
    <s v="IN-2014-JM156557-41818"/>
    <x v="5"/>
    <d v="2014-01-07T00:00:00"/>
    <s v="Second Class"/>
    <s v="JM-156557"/>
    <x v="5"/>
    <s v="Corporate"/>
    <m/>
    <s v="Sydney"/>
    <s v="New South Wales"/>
    <x v="1"/>
    <x v="1"/>
    <s v="Asia Pacific"/>
    <s v="TEC-PH-5842"/>
    <x v="0"/>
    <s v="Phones"/>
    <s v="Samsung Smart Phone, with Caller ID"/>
    <n v="2862.68"/>
    <n v="5"/>
    <n v="0.1"/>
    <n v="763.28"/>
    <n v="897.35"/>
    <s v="Critical"/>
  </r>
  <r>
    <n v="30570"/>
    <s v="IN-2012-TS2134092-41219"/>
    <x v="6"/>
    <d v="2012-08-11T00:00:00"/>
    <s v="First Class"/>
    <s v="TS-2134092"/>
    <x v="6"/>
    <s v="Consumer"/>
    <m/>
    <s v="Porirua"/>
    <s v="Wellington"/>
    <x v="4"/>
    <x v="1"/>
    <s v="Asia Pacific"/>
    <s v="FUR-CH-5378"/>
    <x v="1"/>
    <s v="Chairs"/>
    <s v="Novimex Executive Leather Armchair, Adjustable"/>
    <n v="1822.08"/>
    <n v="4"/>
    <n v="0"/>
    <n v="564.84"/>
    <n v="894.77"/>
    <s v="Critical"/>
  </r>
  <r>
    <n v="31192"/>
    <s v="IN-2013-MB1808592-41378"/>
    <x v="7"/>
    <s v="4/18/2013"/>
    <s v="Standard Class"/>
    <s v="MB-1808592"/>
    <x v="7"/>
    <s v="Consumer"/>
    <m/>
    <s v="Hamilton"/>
    <s v="Waikato"/>
    <x v="4"/>
    <x v="1"/>
    <s v="Asia Pacific"/>
    <s v="FUR-TA-3764"/>
    <x v="1"/>
    <s v="Tables"/>
    <s v="Chromcraft Conference Table, Fully Assembled"/>
    <n v="5244.84"/>
    <n v="6"/>
    <n v="0"/>
    <n v="996.48"/>
    <n v="878.38"/>
    <s v="High"/>
  </r>
  <r>
    <n v="40099"/>
    <s v="CA-2014-AB10015140-41954"/>
    <x v="0"/>
    <s v="11/13/2014"/>
    <s v="First Class"/>
    <s v="AB-100151402"/>
    <x v="0"/>
    <s v="Consumer"/>
    <n v="73120"/>
    <s v="Oklahoma City"/>
    <s v="Oklahoma"/>
    <x v="0"/>
    <x v="0"/>
    <s v="USCA"/>
    <s v="FUR-BO-5957"/>
    <x v="1"/>
    <s v="Bookcases"/>
    <s v="Sauder Facets Collection Library, Sky Alder Finish"/>
    <n v="341.96"/>
    <n v="2"/>
    <n v="0"/>
    <n v="54.71"/>
    <n v="25.27"/>
    <s v="High"/>
  </r>
  <r>
    <n v="36258"/>
    <s v="CA-2012-AB10015140-40974"/>
    <x v="8"/>
    <d v="2012-07-03T00:00:00"/>
    <s v="First Class"/>
    <s v="AB-100151404"/>
    <x v="0"/>
    <s v="Consumer"/>
    <n v="98103"/>
    <s v="Seattle"/>
    <s v="Washington"/>
    <x v="0"/>
    <x v="4"/>
    <s v="USCA"/>
    <s v="FUR-CH-4421"/>
    <x v="1"/>
    <s v="Chairs"/>
    <s v="Global Push Button Manager's Chair, Indigo"/>
    <n v="48.71"/>
    <n v="1"/>
    <n v="0.2"/>
    <n v="5.48"/>
    <n v="11.13"/>
    <s v="High"/>
  </r>
  <r>
    <n v="36259"/>
    <s v="CA-2012-AB10015140-40974"/>
    <x v="8"/>
    <d v="2012-07-03T00:00:00"/>
    <s v="First Class"/>
    <s v="AB-100151404"/>
    <x v="0"/>
    <s v="Consumer"/>
    <n v="98103"/>
    <s v="Seattle"/>
    <s v="Washington"/>
    <x v="0"/>
    <x v="4"/>
    <s v="USCA"/>
    <s v="OFF-AR-5309"/>
    <x v="2"/>
    <s v="Art"/>
    <s v="Newell 330"/>
    <n v="17.940000000000001"/>
    <n v="3"/>
    <n v="0"/>
    <n v="4.66"/>
    <n v="4.29"/>
    <s v="High"/>
  </r>
  <r>
    <n v="28879"/>
    <s v="ID-2013-AJ107801-41383"/>
    <x v="9"/>
    <s v="4/22/2013"/>
    <s v="First Class"/>
    <s v="AJ-107801"/>
    <x v="8"/>
    <s v="Corporate"/>
    <m/>
    <s v="Kabul"/>
    <s v="Kabul"/>
    <x v="5"/>
    <x v="5"/>
    <s v="Asia Pacific"/>
    <s v="FUR-TA-3420"/>
    <x v="1"/>
    <s v="Tables"/>
    <s v="Bevis Conference Table, Fully Assembled"/>
    <n v="4626.1499999999996"/>
    <n v="5"/>
    <n v="0"/>
    <n v="647.54999999999995"/>
    <n v="835.57"/>
    <s v="High"/>
  </r>
  <r>
    <n v="45794"/>
    <s v="SA-2012-MM7260110-41269"/>
    <x v="10"/>
    <s v="12/28/2012"/>
    <s v="Second Class"/>
    <s v="MM-7260110"/>
    <x v="9"/>
    <s v="Consumer"/>
    <m/>
    <s v="Jizan"/>
    <s v="Jizan"/>
    <x v="6"/>
    <x v="6"/>
    <s v="Asia Pacific"/>
    <s v="TEC-PH-3807"/>
    <x v="0"/>
    <s v="Phones"/>
    <s v="Cisco Smart Phone, with Caller ID"/>
    <n v="2616.96"/>
    <n v="4"/>
    <n v="0"/>
    <n v="1151.4000000000001"/>
    <n v="832.41"/>
    <s v="Critical"/>
  </r>
  <r>
    <n v="4132"/>
    <s v="MX-2013-VF2171518-41591"/>
    <x v="11"/>
    <s v="11/13/2013"/>
    <s v="Same Day"/>
    <s v="VF-2171518"/>
    <x v="10"/>
    <s v="Home Office"/>
    <m/>
    <s v="Toledo"/>
    <s v="Parana"/>
    <x v="7"/>
    <x v="7"/>
    <s v="LATAM"/>
    <s v="FUR-CH-4530"/>
    <x v="1"/>
    <s v="Chairs"/>
    <s v="Harbour Creations Executive Leather Armchair, Adjustable"/>
    <n v="2221.8000000000002"/>
    <n v="7"/>
    <n v="0"/>
    <n v="622.02"/>
    <n v="810.25"/>
    <s v="Critical"/>
  </r>
  <r>
    <n v="27704"/>
    <s v="IN-2014-PF1912027-41796"/>
    <x v="12"/>
    <d v="2014-08-06T00:00:00"/>
    <s v="Second Class"/>
    <s v="PF-1912027"/>
    <x v="11"/>
    <s v="Consumer"/>
    <m/>
    <s v="Mudanjiang"/>
    <s v="Heilongjiang"/>
    <x v="8"/>
    <x v="8"/>
    <s v="Asia Pacific"/>
    <s v="OFF-AP-4959"/>
    <x v="2"/>
    <s v="Appliances"/>
    <s v="KitchenAid Microwave, White"/>
    <n v="3701.52"/>
    <n v="12"/>
    <n v="0"/>
    <n v="1036.08"/>
    <n v="804.54"/>
    <s v="Critical"/>
  </r>
  <r>
    <n v="13779"/>
    <s v="ES-2015-BP1118545-42216"/>
    <x v="13"/>
    <d v="2015-03-08T00:00:00"/>
    <s v="Second Class"/>
    <s v="BP-1118545"/>
    <x v="12"/>
    <s v="Corporate"/>
    <m/>
    <s v="Paris"/>
    <s v="Ile-de-France"/>
    <x v="9"/>
    <x v="2"/>
    <s v="Europe"/>
    <s v="OFF-AP-3575"/>
    <x v="2"/>
    <s v="Appliances"/>
    <s v="Breville Refrigerator, Red"/>
    <n v="1869.59"/>
    <n v="4"/>
    <n v="0.1"/>
    <n v="186.95"/>
    <n v="801.66"/>
    <s v="Critical"/>
  </r>
  <r>
    <n v="39519"/>
    <s v="CA-2012-AB10015140-40958"/>
    <x v="14"/>
    <s v="2/25/2012"/>
    <s v="Standard Class"/>
    <s v="AB-100151402"/>
    <x v="0"/>
    <s v="Consumer"/>
    <n v="76017"/>
    <s v="Arlington"/>
    <s v="Texas"/>
    <x v="0"/>
    <x v="0"/>
    <s v="USCA"/>
    <s v="OFF-ST-3078"/>
    <x v="2"/>
    <s v="Storage"/>
    <s v="Akro Stacking Bins"/>
    <n v="12.62"/>
    <n v="2"/>
    <n v="0.2"/>
    <n v="-2.52"/>
    <n v="1.97"/>
    <s v="Low"/>
  </r>
  <r>
    <n v="12069"/>
    <s v="ES-2015-PJ1883564-42255"/>
    <x v="15"/>
    <s v="9/14/2015"/>
    <s v="Standard Class"/>
    <s v="PJ-1883564"/>
    <x v="13"/>
    <s v="Corporate"/>
    <m/>
    <s v="Prato"/>
    <s v="Tuscany"/>
    <x v="10"/>
    <x v="9"/>
    <s v="Europe"/>
    <s v="OFF-AP-4743"/>
    <x v="2"/>
    <s v="Appliances"/>
    <s v="Hoover Stove, Red"/>
    <n v="7958.58"/>
    <n v="14"/>
    <n v="0"/>
    <n v="3979.08"/>
    <n v="778.32"/>
    <s v="Low"/>
  </r>
  <r>
    <n v="22096"/>
    <s v="IN-2015-JS156857-42035"/>
    <x v="16"/>
    <d v="2015-01-02T00:00:00"/>
    <s v="First Class"/>
    <s v="JS-156857"/>
    <x v="14"/>
    <s v="Corporate"/>
    <m/>
    <s v="Townsville"/>
    <s v="Queensland"/>
    <x v="1"/>
    <x v="1"/>
    <s v="Asia Pacific"/>
    <s v="TEC-CO-3597"/>
    <x v="0"/>
    <s v="Copiers"/>
    <s v="Brother Fax Machine, High-Speed"/>
    <n v="2565.59"/>
    <n v="9"/>
    <n v="0.1"/>
    <n v="28.4"/>
    <n v="766.93"/>
    <s v="Critical"/>
  </r>
  <r>
    <n v="49463"/>
    <s v="TZ-2015-RH9555129-42343"/>
    <x v="17"/>
    <d v="2015-07-12T00:00:00"/>
    <s v="Second Class"/>
    <s v="RH-9555129"/>
    <x v="15"/>
    <s v="Consumer"/>
    <m/>
    <s v="Uvinza"/>
    <s v="Kigoma"/>
    <x v="11"/>
    <x v="10"/>
    <s v="Africa"/>
    <s v="OFF-AP-4967"/>
    <x v="2"/>
    <s v="Appliances"/>
    <s v="KitchenAid Stove, White"/>
    <n v="3409.74"/>
    <n v="6"/>
    <n v="0"/>
    <n v="818.28"/>
    <n v="763.38"/>
    <s v="High"/>
  </r>
  <r>
    <n v="46630"/>
    <s v="PL-2013-AB600103-41494"/>
    <x v="18"/>
    <d v="2013-10-08T00:00:00"/>
    <s v="First Class"/>
    <s v="AB-600103"/>
    <x v="16"/>
    <s v="Corporate"/>
    <m/>
    <s v="Bytom"/>
    <s v="Silesia"/>
    <x v="12"/>
    <x v="11"/>
    <s v="Europe"/>
    <s v="FUR-TA-4644"/>
    <x v="1"/>
    <s v="Tables"/>
    <s v="Hon Computer Table, with Bottom Storage"/>
    <n v="1977.72"/>
    <n v="4"/>
    <n v="0"/>
    <n v="276.83999999999997"/>
    <n v="759.47"/>
    <s v="Critical"/>
  </r>
  <r>
    <n v="36260"/>
    <s v="CA-2012-AB10015140-40974"/>
    <x v="8"/>
    <d v="2012-07-03T00:00:00"/>
    <s v="First Class"/>
    <s v="AB-100151404"/>
    <x v="0"/>
    <s v="Consumer"/>
    <n v="98103"/>
    <s v="Seattle"/>
    <s v="Washington"/>
    <x v="0"/>
    <x v="4"/>
    <s v="USCA"/>
    <s v="OFF-ST-3744"/>
    <x v="2"/>
    <s v="Storage"/>
    <s v="Carina 42Hx23 3/4&quot;&quot;W Media Storage Unit&quot;&quot;"/>
    <n v="242.94"/>
    <n v="3"/>
    <n v="0"/>
    <n v="4.8600000000000003"/>
    <n v="1.28"/>
    <s v="High"/>
  </r>
  <r>
    <n v="21586"/>
    <s v="IN-2012-JK1532527-41030"/>
    <x v="19"/>
    <d v="2012-02-05T00:00:00"/>
    <s v="First Class"/>
    <s v="JK-1532527"/>
    <x v="17"/>
    <s v="Corporate"/>
    <m/>
    <s v="Suzhou"/>
    <s v="Anhui"/>
    <x v="8"/>
    <x v="8"/>
    <s v="Asia Pacific"/>
    <s v="FUR-CH-5774"/>
    <x v="1"/>
    <s v="Chairs"/>
    <s v="SAFCO Executive Leather Armchair, Black"/>
    <n v="2754"/>
    <n v="6"/>
    <n v="0"/>
    <n v="358.02"/>
    <n v="752.47"/>
    <s v="Critical"/>
  </r>
  <r>
    <n v="13528"/>
    <s v="ES-2014-LB16795139-41697"/>
    <x v="20"/>
    <d v="2014-01-03T00:00:00"/>
    <s v="Second Class"/>
    <s v="LB-16795139"/>
    <x v="18"/>
    <s v="Home Office"/>
    <m/>
    <s v="Edinburgh"/>
    <s v="Scotland"/>
    <x v="13"/>
    <x v="12"/>
    <s v="Europe"/>
    <s v="OFF-AP-4960"/>
    <x v="2"/>
    <s v="Appliances"/>
    <s v="KitchenAid Refrigerator, Black"/>
    <n v="5273.7"/>
    <n v="10"/>
    <n v="0"/>
    <n v="1898.4"/>
    <n v="730.91"/>
    <s v="High"/>
  </r>
  <r>
    <n v="1570"/>
    <s v="US-2015-NP1832582-42216"/>
    <x v="13"/>
    <d v="2015-01-08T00:00:00"/>
    <s v="First Class"/>
    <s v="NP-1832582"/>
    <x v="19"/>
    <s v="Consumer"/>
    <m/>
    <s v="JuÃƒÂ¡rez"/>
    <s v="Chihuahua"/>
    <x v="14"/>
    <x v="13"/>
    <s v="LATAM"/>
    <s v="TEC-PH-5268"/>
    <x v="0"/>
    <s v="Phones"/>
    <s v="Motorola Smart Phone, Full Size"/>
    <n v="1713.84"/>
    <n v="4"/>
    <n v="0"/>
    <n v="445.52"/>
    <n v="728.96799999999996"/>
    <s v="Critical"/>
  </r>
  <r>
    <n v="3484"/>
    <s v="MX-2015-VD2167039-42252"/>
    <x v="21"/>
    <d v="2015-08-09T00:00:00"/>
    <s v="First Class"/>
    <s v="VD-2167039"/>
    <x v="20"/>
    <s v="Consumer"/>
    <m/>
    <s v="Soyapango"/>
    <s v="San Salvador"/>
    <x v="15"/>
    <x v="13"/>
    <s v="LATAM"/>
    <s v="FUR-TA-4643"/>
    <x v="1"/>
    <s v="Tables"/>
    <s v="Hon Computer Table, Fully Assembled"/>
    <n v="2106.5"/>
    <n v="8"/>
    <n v="0.2"/>
    <n v="526.5"/>
    <n v="728.38900000000001"/>
    <s v="Critical"/>
  </r>
  <r>
    <n v="30191"/>
    <s v="IN-2012-PB19210127-41259"/>
    <x v="22"/>
    <s v="12/19/2012"/>
    <s v="First Class"/>
    <s v="PB-19210127"/>
    <x v="21"/>
    <s v="Corporate"/>
    <m/>
    <s v="Taipei"/>
    <s v="Taipei City"/>
    <x v="16"/>
    <x v="8"/>
    <s v="Asia Pacific"/>
    <s v="FUR-TA-5060"/>
    <x v="1"/>
    <s v="Tables"/>
    <s v="Lesro Conference Table, with Bottom Storage"/>
    <n v="1715.16"/>
    <n v="2"/>
    <n v="0"/>
    <n v="720.36"/>
    <n v="725.57"/>
    <s v="Critical"/>
  </r>
  <r>
    <n v="11645"/>
    <s v="ES-2012-EB1411048-40981"/>
    <x v="23"/>
    <s v="3/16/2012"/>
    <s v="Second Class"/>
    <s v="EB-1411048"/>
    <x v="22"/>
    <s v="Consumer"/>
    <m/>
    <s v="Leipzig"/>
    <s v="Saxony"/>
    <x v="2"/>
    <x v="2"/>
    <s v="Europe"/>
    <s v="OFF-AP-4743"/>
    <x v="2"/>
    <s v="Appliances"/>
    <s v="Hoover Stove, Red"/>
    <n v="3069.74"/>
    <n v="6"/>
    <n v="0.1"/>
    <n v="1364.24"/>
    <n v="725.34"/>
    <s v="Critical"/>
  </r>
  <r>
    <n v="38460"/>
    <s v="CA-2012-AH10030140-41020"/>
    <x v="24"/>
    <s v="4/23/2012"/>
    <s v="Second Class"/>
    <s v="AH-100301406"/>
    <x v="23"/>
    <s v="Corporate"/>
    <n v="12180"/>
    <s v="Troy"/>
    <s v="New York"/>
    <x v="0"/>
    <x v="14"/>
    <s v="USCA"/>
    <s v="OFF-FA-6129"/>
    <x v="2"/>
    <s v="Fasteners"/>
    <s v="Staples"/>
    <n v="247.84"/>
    <n v="8"/>
    <n v="0"/>
    <n v="121.44"/>
    <n v="55.2"/>
    <s v="Critical"/>
  </r>
  <r>
    <n v="22999"/>
    <s v="IN-2013-BP1123058-41329"/>
    <x v="25"/>
    <s v="2/24/2013"/>
    <s v="Same Day"/>
    <s v="BP-1123058"/>
    <x v="24"/>
    <s v="Consumer"/>
    <m/>
    <s v="Surat"/>
    <s v="Gujarat"/>
    <x v="17"/>
    <x v="5"/>
    <s v="Asia Pacific"/>
    <s v="FUR-CH-5443"/>
    <x v="1"/>
    <s v="Chairs"/>
    <s v="Office Star Executive Leather Armchair, Red"/>
    <n v="1878.72"/>
    <n v="4"/>
    <n v="0"/>
    <n v="582.36"/>
    <n v="704.08"/>
    <s v="Critical"/>
  </r>
  <r>
    <n v="220"/>
    <s v="US-2012-RR1952536-41270"/>
    <x v="26"/>
    <s v="12/29/2012"/>
    <s v="Second Class"/>
    <s v="RR-1952536"/>
    <x v="25"/>
    <s v="Corporate"/>
    <m/>
    <s v="Santo Domingo"/>
    <s v="Santo Domingo"/>
    <x v="18"/>
    <x v="15"/>
    <s v="LATAM"/>
    <s v="TEC-PH-5841"/>
    <x v="0"/>
    <s v="Phones"/>
    <s v="Samsung Smart Phone, VoIP"/>
    <n v="1696.64"/>
    <n v="5"/>
    <n v="0.2"/>
    <n v="-148.46"/>
    <n v="704.05600000000004"/>
    <s v="Critical"/>
  </r>
  <r>
    <n v="10648"/>
    <s v="ES-2013-BS1136545-41472"/>
    <x v="27"/>
    <s v="7/19/2013"/>
    <s v="First Class"/>
    <s v="BS-1136545"/>
    <x v="26"/>
    <s v="Corporate"/>
    <m/>
    <s v="Saint-Brieuc"/>
    <s v="Brittany"/>
    <x v="9"/>
    <x v="2"/>
    <s v="Europe"/>
    <s v="TEC-MA-5503"/>
    <x v="0"/>
    <s v="Machines"/>
    <s v="Okidata Inkjet, Wireless"/>
    <n v="2402.87"/>
    <n v="9"/>
    <n v="0.15"/>
    <n v="763.16"/>
    <n v="699.55"/>
    <s v="Critical"/>
  </r>
  <r>
    <n v="40977"/>
    <s v="CA-2013-AH10030140-41635"/>
    <x v="28"/>
    <s v="12/31/2013"/>
    <s v="Standard Class"/>
    <s v="AH-100301404"/>
    <x v="23"/>
    <s v="Corporate"/>
    <n v="94122"/>
    <s v="San Francisco"/>
    <s v="California"/>
    <x v="0"/>
    <x v="4"/>
    <s v="USCA"/>
    <s v="TEC-PH-4389"/>
    <x v="0"/>
    <s v="Phones"/>
    <s v="Geemarc AmpliPOWER60"/>
    <n v="668.16"/>
    <n v="9"/>
    <n v="0.2"/>
    <n v="75.17"/>
    <n v="45.74"/>
    <s v="Medium"/>
  </r>
  <r>
    <n v="21286"/>
    <s v="IN-2012-DP131057-41215"/>
    <x v="29"/>
    <d v="2012-04-11T00:00:00"/>
    <s v="Second Class"/>
    <s v="DP-131057"/>
    <x v="27"/>
    <s v="Corporate"/>
    <m/>
    <s v="Gold Coast"/>
    <s v="Queensland"/>
    <x v="1"/>
    <x v="1"/>
    <s v="Asia Pacific"/>
    <s v="OFF-AP-3579"/>
    <x v="2"/>
    <s v="Appliances"/>
    <s v="Breville Stove, Red"/>
    <n v="2526.9299999999998"/>
    <n v="5"/>
    <n v="0.1"/>
    <n v="561.48"/>
    <n v="689.8"/>
    <s v="Critical"/>
  </r>
  <r>
    <n v="40976"/>
    <s v="CA-2013-AH10030140-41635"/>
    <x v="28"/>
    <s v="12/31/2013"/>
    <s v="Standard Class"/>
    <s v="AH-100301404"/>
    <x v="23"/>
    <s v="Corporate"/>
    <n v="94122"/>
    <s v="San Francisco"/>
    <s v="California"/>
    <x v="0"/>
    <x v="4"/>
    <s v="USCA"/>
    <s v="OFF-ST-4291"/>
    <x v="2"/>
    <s v="Storage"/>
    <s v="Fellowes Super Stor/Drawer Files"/>
    <n v="323.10000000000002"/>
    <n v="2"/>
    <n v="0"/>
    <n v="61.39"/>
    <n v="26.7"/>
    <s v="Medium"/>
  </r>
  <r>
    <n v="47905"/>
    <s v="CG-2012-AH1003033-41165"/>
    <x v="30"/>
    <s v="9/14/2012"/>
    <s v="First Class"/>
    <s v="AH-1003033"/>
    <x v="23"/>
    <s v="Corporate"/>
    <m/>
    <s v="Kamina"/>
    <s v="Katanga"/>
    <x v="19"/>
    <x v="16"/>
    <s v="Africa"/>
    <s v="TEC-PH-3148"/>
    <x v="0"/>
    <s v="Phones"/>
    <s v="Apple Smart Phone, Full Size"/>
    <n v="3817.26"/>
    <n v="6"/>
    <n v="0"/>
    <n v="1068.6600000000001"/>
    <n v="678.15"/>
    <s v="High"/>
  </r>
  <r>
    <n v="36651"/>
    <s v="CA-2012-AH10030140-41041"/>
    <x v="31"/>
    <s v="5/18/2012"/>
    <s v="Standard Class"/>
    <s v="AH-100301404"/>
    <x v="23"/>
    <s v="Corporate"/>
    <n v="90004"/>
    <s v="Los Angeles"/>
    <s v="California"/>
    <x v="0"/>
    <x v="4"/>
    <s v="USCA"/>
    <s v="FUR-CH-4840"/>
    <x v="1"/>
    <s v="Chairs"/>
    <s v="Iceberg Nesting Folding Chair, 19w x 6d x 43h"/>
    <n v="279.45999999999998"/>
    <n v="6"/>
    <n v="0.2"/>
    <n v="20.96"/>
    <n v="11.69"/>
    <s v="Medium"/>
  </r>
  <r>
    <n v="40100"/>
    <s v="CA-2012-AH10030140-41273"/>
    <x v="32"/>
    <s v="12/31/2012"/>
    <s v="First Class"/>
    <s v="AH-100301406"/>
    <x v="23"/>
    <s v="Corporate"/>
    <n v="10035"/>
    <s v="New York City"/>
    <s v="New York"/>
    <x v="0"/>
    <x v="14"/>
    <s v="USCA"/>
    <s v="TEC-AC-6340"/>
    <x v="0"/>
    <s v="Accessories"/>
    <s v="Verbatim 25 GB 6x Blu-ray Single Layer Recordable Disc, 10/Pack"/>
    <n v="34.770000000000003"/>
    <n v="3"/>
    <n v="0"/>
    <n v="11.47"/>
    <n v="8.2200000000000006"/>
    <s v="High"/>
  </r>
  <r>
    <n v="15380"/>
    <s v="ES-2015-PO18865139-42018"/>
    <x v="33"/>
    <s v="1/18/2015"/>
    <s v="Standard Class"/>
    <s v="PO-18865139"/>
    <x v="28"/>
    <s v="Consumer"/>
    <m/>
    <s v="Stockton-on-Tees"/>
    <s v="England"/>
    <x v="13"/>
    <x v="12"/>
    <s v="Europe"/>
    <s v="TEC-CO-3598"/>
    <x v="0"/>
    <s v="Copiers"/>
    <s v="Brother Fax Machine, Laser"/>
    <n v="4141.0200000000004"/>
    <n v="13"/>
    <n v="0"/>
    <n v="1697.67"/>
    <n v="668.96"/>
    <s v="High"/>
  </r>
  <r>
    <n v="28046"/>
    <s v="IN-2012-DL128657-40918"/>
    <x v="34"/>
    <d v="2012-11-01T00:00:00"/>
    <s v="First Class"/>
    <s v="DL-128657"/>
    <x v="29"/>
    <s v="Consumer"/>
    <m/>
    <s v="Brisbane"/>
    <s v="Queensland"/>
    <x v="1"/>
    <x v="1"/>
    <s v="Asia Pacific"/>
    <s v="TEC-PH-5356"/>
    <x v="0"/>
    <s v="Phones"/>
    <s v="Nokia Smart Phone, with Caller ID"/>
    <n v="2875.1"/>
    <n v="5"/>
    <n v="0.1"/>
    <n v="511.1"/>
    <n v="665.27"/>
    <s v="Medium"/>
  </r>
  <r>
    <n v="21316"/>
    <s v="ID-2014-JB1600059-41873"/>
    <x v="35"/>
    <s v="8/26/2014"/>
    <s v="Standard Class"/>
    <s v="JB-1600059"/>
    <x v="30"/>
    <s v="Consumer"/>
    <m/>
    <s v="Mataram"/>
    <s v="Nusa Tenggara Barat"/>
    <x v="20"/>
    <x v="17"/>
    <s v="Asia Pacific"/>
    <s v="TEC-PH-5268"/>
    <x v="0"/>
    <s v="Phones"/>
    <s v="Motorola Smart Phone, Full Size"/>
    <n v="3200.6"/>
    <n v="6"/>
    <n v="0.17"/>
    <n v="-77.2"/>
    <n v="660.87"/>
    <s v="High"/>
  </r>
  <r>
    <n v="29272"/>
    <s v="IN-2015-BF1100558-42319"/>
    <x v="36"/>
    <s v="11/15/2015"/>
    <s v="Standard Class"/>
    <s v="BF-1100558"/>
    <x v="31"/>
    <s v="Home Office"/>
    <m/>
    <s v="Gorakhpur"/>
    <s v="Haryana"/>
    <x v="17"/>
    <x v="5"/>
    <s v="Asia Pacific"/>
    <s v="TEC-PH-5269"/>
    <x v="0"/>
    <s v="Phones"/>
    <s v="Motorola Smart Phone, with Caller ID"/>
    <n v="4518.78"/>
    <n v="7"/>
    <n v="0"/>
    <n v="632.52"/>
    <n v="658.69"/>
    <s v="High"/>
  </r>
  <r>
    <n v="25795"/>
    <s v="IN-2015-VG2180558-42273"/>
    <x v="37"/>
    <s v="9/28/2015"/>
    <s v="Second Class"/>
    <s v="VG-2180558"/>
    <x v="32"/>
    <s v="Corporate"/>
    <m/>
    <s v="Thiruvananthapuram"/>
    <s v="Kerala"/>
    <x v="17"/>
    <x v="5"/>
    <s v="Asia Pacific"/>
    <s v="FUR-BO-5951"/>
    <x v="1"/>
    <s v="Bookcases"/>
    <s v="Sauder Classic Bookcase, Traditional"/>
    <n v="5667.87"/>
    <n v="13"/>
    <n v="0"/>
    <n v="2097.0300000000002"/>
    <n v="658.35"/>
    <s v="Medium"/>
  </r>
  <r>
    <n v="16681"/>
    <s v="ES-2013-GT14710139-41621"/>
    <x v="38"/>
    <s v="12/17/2013"/>
    <s v="Standard Class"/>
    <s v="GT-14710139"/>
    <x v="33"/>
    <s v="Consumer"/>
    <m/>
    <s v="Huddersfield"/>
    <s v="England"/>
    <x v="13"/>
    <x v="12"/>
    <s v="Europe"/>
    <s v="TEC-PH-5267"/>
    <x v="0"/>
    <s v="Phones"/>
    <s v="Motorola Smart Phone, Cordless"/>
    <n v="5785.02"/>
    <n v="9"/>
    <n v="0"/>
    <n v="404.73"/>
    <n v="656.73"/>
    <s v="High"/>
  </r>
  <r>
    <n v="15953"/>
    <s v="IT-2012-ZC2191048-41174"/>
    <x v="39"/>
    <s v="9/24/2012"/>
    <s v="First Class"/>
    <s v="ZC-2191048"/>
    <x v="34"/>
    <s v="Consumer"/>
    <m/>
    <s v="Berlin"/>
    <s v="Berlin"/>
    <x v="2"/>
    <x v="2"/>
    <s v="Europe"/>
    <s v="OFF-AP-3874"/>
    <x v="2"/>
    <s v="Appliances"/>
    <s v="Cuisinart Stove, Silver"/>
    <n v="3018.62"/>
    <n v="7"/>
    <n v="0.2"/>
    <n v="377.24"/>
    <n v="655.91"/>
    <s v="Critical"/>
  </r>
  <r>
    <n v="34608"/>
    <s v="CA-2014-AH10030140-41719"/>
    <x v="40"/>
    <s v="3/26/2014"/>
    <s v="Second Class"/>
    <s v="AH-100301408"/>
    <x v="23"/>
    <s v="Corporate"/>
    <n v="39503"/>
    <s v="Gulfport"/>
    <s v="Mississippi"/>
    <x v="0"/>
    <x v="18"/>
    <s v="USCA"/>
    <s v="FUR-FU-4072"/>
    <x v="1"/>
    <s v="Furnishings"/>
    <s v="Eldon Image Series Desk Accessories, Ebony"/>
    <n v="86.45"/>
    <n v="7"/>
    <n v="0"/>
    <n v="38.04"/>
    <n v="5.73"/>
    <s v="Medium"/>
  </r>
  <r>
    <n v="13847"/>
    <s v="IT-2014-EB1384045-41706"/>
    <x v="41"/>
    <d v="2014-08-03T00:00:00"/>
    <s v="Same Day"/>
    <s v="EB-1384045"/>
    <x v="35"/>
    <s v="Corporate"/>
    <m/>
    <s v="Montreuil"/>
    <s v="Ile-de-France"/>
    <x v="9"/>
    <x v="2"/>
    <s v="Europe"/>
    <s v="FUR-CH-5441"/>
    <x v="1"/>
    <s v="Chairs"/>
    <s v="Office Star Executive Leather Armchair, Adjustable"/>
    <n v="2092.5"/>
    <n v="5"/>
    <n v="0.1"/>
    <n v="720.75"/>
    <n v="652.98"/>
    <s v="Critical"/>
  </r>
  <r>
    <n v="24341"/>
    <s v="IN-2015-AP1091527-42244"/>
    <x v="42"/>
    <s v="8/29/2015"/>
    <s v="First Class"/>
    <s v="AP-1091527"/>
    <x v="36"/>
    <s v="Consumer"/>
    <m/>
    <s v="Shouguang"/>
    <s v="Shandong"/>
    <x v="8"/>
    <x v="8"/>
    <s v="Asia Pacific"/>
    <s v="FUR-CH-5380"/>
    <x v="1"/>
    <s v="Chairs"/>
    <s v="Novimex Executive Leather Armchair, Red"/>
    <n v="2761.2"/>
    <n v="6"/>
    <n v="0"/>
    <n v="110.34"/>
    <n v="644.75"/>
    <s v="High"/>
  </r>
  <r>
    <n v="28701"/>
    <s v="IN-2015-SW2027558-42125"/>
    <x v="43"/>
    <d v="2015-01-05T00:00:00"/>
    <s v="Same Day"/>
    <s v="SW-2027558"/>
    <x v="37"/>
    <s v="Consumer"/>
    <m/>
    <s v="Jamshedpur"/>
    <s v="Jharkhand"/>
    <x v="17"/>
    <x v="5"/>
    <s v="Asia Pacific"/>
    <s v="TEC-MA-5007"/>
    <x v="0"/>
    <s v="Machines"/>
    <s v="Konica Inkjet, White"/>
    <n v="2174.13"/>
    <n v="7"/>
    <n v="0"/>
    <n v="500.01"/>
    <n v="637.86"/>
    <s v="Critical"/>
  </r>
  <r>
    <n v="6550"/>
    <s v="MX-2015-JH15820141-42356"/>
    <x v="44"/>
    <s v="12/20/2015"/>
    <s v="Second Class"/>
    <s v="JH-15820141"/>
    <x v="38"/>
    <s v="Consumer"/>
    <m/>
    <s v="PaysandÃƒÂº"/>
    <s v="PaysandÃƒÂº"/>
    <x v="21"/>
    <x v="7"/>
    <s v="LATAM"/>
    <s v="FUR-CH-4531"/>
    <x v="1"/>
    <s v="Chairs"/>
    <s v="Harbour Creations Executive Leather Armchair, Black"/>
    <n v="3473.14"/>
    <n v="11"/>
    <n v="0"/>
    <n v="868.12"/>
    <n v="634.529"/>
    <s v="High"/>
  </r>
  <r>
    <n v="37425"/>
    <s v="US-2012-AH10030140-41206"/>
    <x v="45"/>
    <s v="10/27/2012"/>
    <s v="First Class"/>
    <s v="AH-100301404"/>
    <x v="23"/>
    <s v="Corporate"/>
    <n v="94109"/>
    <s v="San Francisco"/>
    <s v="California"/>
    <x v="0"/>
    <x v="4"/>
    <s v="USCA"/>
    <s v="OFF-BI-4372"/>
    <x v="2"/>
    <s v="Binders"/>
    <s v="GBC VeloBind Cover Sets"/>
    <n v="49.41"/>
    <n v="4"/>
    <n v="0.2"/>
    <n v="18.53"/>
    <n v="2.84"/>
    <s v="High"/>
  </r>
  <r>
    <n v="48360"/>
    <s v="IR-2015-TG1164060-42265"/>
    <x v="46"/>
    <s v="9/21/2015"/>
    <s v="First Class"/>
    <s v="TG-1164060"/>
    <x v="39"/>
    <s v="Consumer"/>
    <m/>
    <s v="Behshahr"/>
    <s v="Mazandaran"/>
    <x v="22"/>
    <x v="5"/>
    <s v="Asia Pacific"/>
    <s v="TEC-CO-3678"/>
    <x v="0"/>
    <s v="Copiers"/>
    <s v="Canon Copy Machine, Color"/>
    <n v="2108.64"/>
    <n v="8"/>
    <n v="0"/>
    <n v="527.04"/>
    <n v="630.97"/>
    <s v="Critical"/>
  </r>
  <r>
    <n v="40101"/>
    <s v="CA-2012-AH10030140-41273"/>
    <x v="32"/>
    <s v="12/31/2012"/>
    <s v="First Class"/>
    <s v="AH-100301406"/>
    <x v="23"/>
    <s v="Corporate"/>
    <n v="10035"/>
    <s v="New York City"/>
    <s v="New York"/>
    <x v="0"/>
    <x v="14"/>
    <s v="USCA"/>
    <s v="OFF-LA-3231"/>
    <x v="2"/>
    <s v="Labels"/>
    <s v="Avery 51"/>
    <n v="18.899999999999999"/>
    <n v="3"/>
    <n v="0"/>
    <n v="8.69"/>
    <n v="1.3"/>
    <s v="High"/>
  </r>
  <r>
    <n v="30190"/>
    <s v="IN-2012-PB19210127-41259"/>
    <x v="22"/>
    <s v="12/19/2012"/>
    <s v="First Class"/>
    <s v="PB-19210127"/>
    <x v="21"/>
    <s v="Corporate"/>
    <m/>
    <s v="Taipei"/>
    <s v="Taipei City"/>
    <x v="16"/>
    <x v="8"/>
    <s v="Asia Pacific"/>
    <s v="FUR-BO-5762"/>
    <x v="1"/>
    <s v="Bookcases"/>
    <s v="Safco Classic Bookcase, Pine"/>
    <n v="2197.5"/>
    <n v="5"/>
    <n v="0"/>
    <n v="153.75"/>
    <n v="627.27"/>
    <s v="Critical"/>
  </r>
  <r>
    <n v="42336"/>
    <s v="MZ-2014-DG330087-41991"/>
    <x v="47"/>
    <s v="12/18/2014"/>
    <s v="Same Day"/>
    <s v="DG-330087"/>
    <x v="40"/>
    <s v="Corporate"/>
    <m/>
    <s v="Maputo"/>
    <s v="Cidade De Maputo"/>
    <x v="23"/>
    <x v="10"/>
    <s v="Africa"/>
    <s v="TEC-PH-5269"/>
    <x v="0"/>
    <s v="Phones"/>
    <s v="Motorola Smart Phone, with Caller ID"/>
    <n v="2582.16"/>
    <n v="4"/>
    <n v="0"/>
    <n v="593.88"/>
    <n v="627.16999999999996"/>
    <s v="High"/>
  </r>
  <r>
    <n v="29047"/>
    <s v="IN-2013-SG2047058-41424"/>
    <x v="48"/>
    <s v="5/31/2013"/>
    <s v="First Class"/>
    <s v="SG-2047058"/>
    <x v="41"/>
    <s v="Consumer"/>
    <m/>
    <s v="Bhopal"/>
    <s v="Madhya Pradesh"/>
    <x v="17"/>
    <x v="5"/>
    <s v="Asia Pacific"/>
    <s v="TEC-CO-4590"/>
    <x v="0"/>
    <s v="Copiers"/>
    <s v="Hewlett Wireless Fax, Color"/>
    <n v="1526.52"/>
    <n v="4"/>
    <n v="0"/>
    <n v="732.72"/>
    <n v="625.77"/>
    <s v="Critical"/>
  </r>
  <r>
    <n v="38461"/>
    <s v="CA-2012-AH10030140-41020"/>
    <x v="24"/>
    <s v="4/23/2012"/>
    <s v="Second Class"/>
    <s v="AH-100301406"/>
    <x v="23"/>
    <s v="Corporate"/>
    <n v="12180"/>
    <s v="Troy"/>
    <s v="New York"/>
    <x v="0"/>
    <x v="14"/>
    <s v="USCA"/>
    <s v="OFF-BI-2937"/>
    <x v="2"/>
    <s v="Binders"/>
    <s v="ACCOHIDE 3-Ring Binder, Blue, 1&quot;"/>
    <n v="9.91"/>
    <n v="3"/>
    <n v="0.2"/>
    <n v="3.35"/>
    <n v="1.2"/>
    <s v="Critical"/>
  </r>
  <r>
    <n v="29601"/>
    <s v="IN-2013-GP1474058-41419"/>
    <x v="49"/>
    <s v="5/28/2013"/>
    <s v="Second Class"/>
    <s v="GP-1474058"/>
    <x v="42"/>
    <s v="Corporate"/>
    <m/>
    <s v="Delhi"/>
    <s v="Delhi"/>
    <x v="17"/>
    <x v="5"/>
    <s v="Asia Pacific"/>
    <s v="FUR-TA-3766"/>
    <x v="1"/>
    <s v="Tables"/>
    <s v="Chromcraft Conference Table, with Bottom Storage"/>
    <n v="1745.34"/>
    <n v="2"/>
    <n v="0"/>
    <n v="226.86"/>
    <n v="616.27"/>
    <s v="Critical"/>
  </r>
  <r>
    <n v="23499"/>
    <s v="IN-2015-MW182207-42221"/>
    <x v="50"/>
    <d v="2015-06-08T00:00:00"/>
    <s v="First Class"/>
    <s v="MW-182207"/>
    <x v="43"/>
    <s v="Consumer"/>
    <m/>
    <s v="Geraldton"/>
    <s v="Western Australia"/>
    <x v="1"/>
    <x v="1"/>
    <s v="Asia Pacific"/>
    <s v="OFF-AP-3577"/>
    <x v="2"/>
    <s v="Appliances"/>
    <s v="Breville Refrigerator, White"/>
    <n v="4191.51"/>
    <n v="9"/>
    <n v="0.1"/>
    <n v="1164.27"/>
    <n v="614.34"/>
    <s v="High"/>
  </r>
  <r>
    <n v="36652"/>
    <s v="CA-2012-AH10030140-41041"/>
    <x v="31"/>
    <s v="5/18/2012"/>
    <s v="Standard Class"/>
    <s v="AH-100301404"/>
    <x v="23"/>
    <s v="Corporate"/>
    <n v="90004"/>
    <s v="Los Angeles"/>
    <s v="California"/>
    <x v="0"/>
    <x v="4"/>
    <s v="USCA"/>
    <s v="OFF-PA-4014"/>
    <x v="2"/>
    <s v="Paper"/>
    <s v="EcoTones Memo Sheets"/>
    <n v="8"/>
    <n v="2"/>
    <n v="0"/>
    <n v="3.84"/>
    <n v="1.1499999999999999"/>
    <s v="Medium"/>
  </r>
  <r>
    <n v="26634"/>
    <s v="IN-2015-CS1246011-42074"/>
    <x v="51"/>
    <s v="3/13/2015"/>
    <s v="Second Class"/>
    <s v="CS-1246011"/>
    <x v="44"/>
    <s v="Consumer"/>
    <m/>
    <s v="Dhaka"/>
    <s v="Dhaka"/>
    <x v="24"/>
    <x v="5"/>
    <s v="Asia Pacific"/>
    <s v="FUR-BO-5760"/>
    <x v="1"/>
    <s v="Bookcases"/>
    <s v="Safco Classic Bookcase, Metal"/>
    <n v="3063.27"/>
    <n v="7"/>
    <n v="0"/>
    <n v="581.91"/>
    <n v="609.24"/>
    <s v="High"/>
  </r>
  <r>
    <n v="34496"/>
    <s v="CA-2015-AH10030140-42357"/>
    <x v="52"/>
    <s v="12/23/2015"/>
    <s v="Standard Class"/>
    <s v="AH-100301406"/>
    <x v="23"/>
    <s v="Corporate"/>
    <n v="19134"/>
    <s v="Philadelphia"/>
    <s v="Pennsylvania"/>
    <x v="0"/>
    <x v="14"/>
    <s v="USCA"/>
    <s v="OFF-AR-3276"/>
    <x v="2"/>
    <s v="Art"/>
    <s v="Avery Fluorescent Highlighter Four-Color Set"/>
    <n v="18.7"/>
    <n v="7"/>
    <n v="0.2"/>
    <n v="2.34"/>
    <n v="1.1299999999999999"/>
    <s v="Medium"/>
  </r>
  <r>
    <n v="10522"/>
    <s v="ES-2015-MS1798048-42227"/>
    <x v="53"/>
    <s v="8/16/2015"/>
    <s v="Second Class"/>
    <s v="MS-1798048"/>
    <x v="45"/>
    <s v="Corporate"/>
    <m/>
    <s v="Munster"/>
    <s v="Lower Saxony"/>
    <x v="2"/>
    <x v="2"/>
    <s v="Europe"/>
    <s v="TEC-PH-5839"/>
    <x v="0"/>
    <s v="Phones"/>
    <s v="Samsung Smart Phone, Cordless"/>
    <n v="4473"/>
    <n v="7"/>
    <n v="0"/>
    <n v="313.11"/>
    <n v="604.4"/>
    <s v="Medium"/>
  </r>
  <r>
    <n v="10549"/>
    <s v="IT-2014-KC1667548-41882"/>
    <x v="54"/>
    <d v="2014-03-09T00:00:00"/>
    <s v="First Class"/>
    <s v="KC-1667548"/>
    <x v="46"/>
    <s v="Corporate"/>
    <m/>
    <s v="Celle"/>
    <s v="Lower Saxony"/>
    <x v="2"/>
    <x v="2"/>
    <s v="Europe"/>
    <s v="TEC-PH-3130"/>
    <x v="0"/>
    <s v="Phones"/>
    <s v="Apple Audio Dock, with Caller ID"/>
    <n v="1502.01"/>
    <n v="9"/>
    <n v="0"/>
    <n v="225.18"/>
    <n v="600.21"/>
    <s v="Critical"/>
  </r>
  <r>
    <n v="25314"/>
    <s v="IN-2015-DB1340527-42022"/>
    <x v="55"/>
    <s v="1/23/2015"/>
    <s v="Standard Class"/>
    <s v="DB-1340527"/>
    <x v="47"/>
    <s v="Consumer"/>
    <m/>
    <s v="Wuxi"/>
    <s v="Jiangsu"/>
    <x v="8"/>
    <x v="8"/>
    <s v="Asia Pacific"/>
    <s v="FUR-CH-5774"/>
    <x v="1"/>
    <s v="Chairs"/>
    <s v="SAFCO Executive Leather Armchair, Black"/>
    <n v="5049"/>
    <n v="11"/>
    <n v="0"/>
    <n v="656.37"/>
    <n v="595.5"/>
    <s v="High"/>
  </r>
  <r>
    <n v="32637"/>
    <s v="CA-2015-AS10045140-42007"/>
    <x v="56"/>
    <d v="2015-05-01T00:00:00"/>
    <s v="First Class"/>
    <s v="AS-100451408"/>
    <x v="48"/>
    <s v="Corporate"/>
    <n v="28540"/>
    <s v="Jacksonville"/>
    <s v="North Carolina"/>
    <x v="0"/>
    <x v="18"/>
    <s v="USCA"/>
    <s v="TEC-MA-3788"/>
    <x v="0"/>
    <s v="Machines"/>
    <s v="Cisco CP-7937G Unified IP Conference Station Phone"/>
    <n v="695.7"/>
    <n v="2"/>
    <n v="0.5"/>
    <n v="-27.83"/>
    <n v="160.19"/>
    <s v="High"/>
  </r>
  <r>
    <n v="16653"/>
    <s v="IT-2015-DK13090120-42345"/>
    <x v="57"/>
    <d v="2015-08-12T00:00:00"/>
    <s v="First Class"/>
    <s v="DK-13090120"/>
    <x v="49"/>
    <s v="Consumer"/>
    <m/>
    <s v="Seville"/>
    <s v="AndalusÃƒÂ­a"/>
    <x v="25"/>
    <x v="9"/>
    <s v="Europe"/>
    <s v="FUR-BO-5760"/>
    <x v="1"/>
    <s v="Bookcases"/>
    <s v="Safco Classic Bookcase, Metal"/>
    <n v="2188.0500000000002"/>
    <n v="5"/>
    <n v="0"/>
    <n v="1050.1500000000001"/>
    <n v="593.91"/>
    <s v="High"/>
  </r>
  <r>
    <n v="28932"/>
    <s v="IN-2015-CS1184558-42354"/>
    <x v="58"/>
    <s v="12/19/2015"/>
    <s v="First Class"/>
    <s v="CS-1184558"/>
    <x v="50"/>
    <s v="Corporate"/>
    <m/>
    <s v="Raipur"/>
    <s v="Uttarakhand"/>
    <x v="17"/>
    <x v="5"/>
    <s v="Asia Pacific"/>
    <s v="FUR-TA-3779"/>
    <x v="1"/>
    <s v="Tables"/>
    <s v="Chromcraft Wood Table, Rectangular"/>
    <n v="1920.36"/>
    <n v="4"/>
    <n v="0"/>
    <n v="652.91999999999996"/>
    <n v="592.77"/>
    <s v="Critical"/>
  </r>
  <r>
    <n v="8029"/>
    <s v="MX-2015-EM1420082-42328"/>
    <x v="59"/>
    <s v="11/20/2015"/>
    <s v="Same Day"/>
    <s v="EM-1420082"/>
    <x v="51"/>
    <s v="Home Office"/>
    <m/>
    <s v="GÃƒÂ³mez Palacio"/>
    <s v="Durango"/>
    <x v="14"/>
    <x v="13"/>
    <s v="LATAM"/>
    <s v="TEC-PH-5839"/>
    <x v="0"/>
    <s v="Phones"/>
    <s v="Samsung Smart Phone, Cordless"/>
    <n v="1704"/>
    <n v="4"/>
    <n v="0"/>
    <n v="119.28"/>
    <n v="592.726"/>
    <s v="Critical"/>
  </r>
  <r>
    <n v="50411"/>
    <s v="UP-2012-DW3480137-41221"/>
    <x v="60"/>
    <d v="2012-10-11T00:00:00"/>
    <s v="First Class"/>
    <s v="DW-3480137"/>
    <x v="52"/>
    <s v="Home Office"/>
    <m/>
    <s v="Kharkiv"/>
    <s v="Kharkiv"/>
    <x v="26"/>
    <x v="11"/>
    <s v="Europe"/>
    <s v="FUR-TA-3771"/>
    <x v="1"/>
    <s v="Tables"/>
    <s v="Chromcraft Round Table, Rectangular"/>
    <n v="1858.68"/>
    <n v="4"/>
    <n v="0"/>
    <n v="130.08000000000001"/>
    <n v="590.55999999999995"/>
    <s v="Critical"/>
  </r>
  <r>
    <n v="21191"/>
    <s v="IN-2014-AS1022527-41797"/>
    <x v="61"/>
    <d v="2014-09-06T00:00:00"/>
    <s v="First Class"/>
    <s v="AS-1022527"/>
    <x v="53"/>
    <s v="Corporate"/>
    <m/>
    <s v="Jinan"/>
    <s v="Shandong"/>
    <x v="8"/>
    <x v="8"/>
    <s v="Asia Pacific"/>
    <s v="FUR-CH-4530"/>
    <x v="1"/>
    <s v="Chairs"/>
    <s v="Harbour Creations Executive Leather Armchair, Adjustable"/>
    <n v="3298.26"/>
    <n v="7"/>
    <n v="0"/>
    <n v="1055.25"/>
    <n v="589.36"/>
    <s v="High"/>
  </r>
  <r>
    <n v="4960"/>
    <s v="MX-2012-ST2053093-41234"/>
    <x v="62"/>
    <s v="11/22/2012"/>
    <s v="First Class"/>
    <s v="ST-2053093"/>
    <x v="54"/>
    <s v="Consumer"/>
    <m/>
    <s v="Chinandega"/>
    <s v="Chinandega"/>
    <x v="27"/>
    <x v="13"/>
    <s v="LATAM"/>
    <s v="OFF-AP-4497"/>
    <x v="2"/>
    <s v="Appliances"/>
    <s v="Hamilton Beach Microwave, Black"/>
    <n v="2443.48"/>
    <n v="13"/>
    <n v="0"/>
    <n v="121.94"/>
    <n v="589.29300000000001"/>
    <s v="Medium"/>
  </r>
  <r>
    <n v="49085"/>
    <s v="CG-2014-BW106533-41727"/>
    <x v="63"/>
    <s v="3/31/2014"/>
    <s v="Second Class"/>
    <s v="BW-106533"/>
    <x v="55"/>
    <s v="Consumer"/>
    <m/>
    <s v="Kananga"/>
    <s v="Kasai-Occidental"/>
    <x v="19"/>
    <x v="16"/>
    <s v="Africa"/>
    <s v="FUR-CH-4530"/>
    <x v="1"/>
    <s v="Chairs"/>
    <s v="Harbour Creations Executive Leather Armchair, Adjustable"/>
    <n v="3808.8"/>
    <n v="8"/>
    <n v="0"/>
    <n v="1523.52"/>
    <n v="588.13"/>
    <s v="High"/>
  </r>
  <r>
    <n v="21209"/>
    <s v="IN-2015-LA1678059-42242"/>
    <x v="64"/>
    <s v="8/27/2015"/>
    <s v="First Class"/>
    <s v="LA-1678059"/>
    <x v="56"/>
    <s v="Corporate"/>
    <m/>
    <s v="Palembang"/>
    <s v="Sumatera Selatan"/>
    <x v="20"/>
    <x v="17"/>
    <s v="Asia Pacific"/>
    <s v="FUR-TA-3422"/>
    <x v="1"/>
    <s v="Tables"/>
    <s v="Bevis Conference Table, with Bottom Storage"/>
    <n v="3427.15"/>
    <n v="7"/>
    <n v="0.47"/>
    <n v="-452.81"/>
    <n v="586.57000000000005"/>
    <s v="High"/>
  </r>
  <r>
    <n v="12161"/>
    <s v="ES-2013-AB10150139-41537"/>
    <x v="65"/>
    <s v="9/22/2013"/>
    <s v="Second Class"/>
    <s v="AB-10150139"/>
    <x v="57"/>
    <s v="Consumer"/>
    <m/>
    <s v="London"/>
    <s v="England"/>
    <x v="13"/>
    <x v="12"/>
    <s v="Europe"/>
    <s v="TEC-PH-5355"/>
    <x v="0"/>
    <s v="Phones"/>
    <s v="Nokia Smart Phone, Full Size"/>
    <n v="3441.69"/>
    <n v="6"/>
    <n v="0.1"/>
    <n v="38.07"/>
    <n v="585.25"/>
    <s v="High"/>
  </r>
  <r>
    <n v="25438"/>
    <s v="IN-2015-JH158207-42140"/>
    <x v="66"/>
    <s v="5/18/2015"/>
    <s v="Second Class"/>
    <s v="JH-158207"/>
    <x v="38"/>
    <s v="Consumer"/>
    <m/>
    <s v="Melbourne"/>
    <s v="Victoria"/>
    <x v="1"/>
    <x v="1"/>
    <s v="Asia Pacific"/>
    <s v="TEC-PH-3147"/>
    <x v="0"/>
    <s v="Phones"/>
    <s v="Apple Smart Phone, Cordless"/>
    <n v="2863.35"/>
    <n v="5"/>
    <n v="0.1"/>
    <n v="858.9"/>
    <n v="581.88"/>
    <s v="Critical"/>
  </r>
  <r>
    <n v="33130"/>
    <s v="CA-2015-AS10045140-42218"/>
    <x v="67"/>
    <d v="2015-08-08T00:00:00"/>
    <s v="Standard Class"/>
    <s v="AS-100451402"/>
    <x v="48"/>
    <s v="Corporate"/>
    <n v="78745"/>
    <s v="Austin"/>
    <s v="Texas"/>
    <x v="0"/>
    <x v="0"/>
    <s v="USCA"/>
    <s v="TEC-MA-3329"/>
    <x v="0"/>
    <s v="Machines"/>
    <s v="Bady BDG101FRU Card Printer"/>
    <n v="1439.98"/>
    <n v="3"/>
    <n v="0.4"/>
    <n v="-264"/>
    <n v="103.62"/>
    <s v="Medium"/>
  </r>
  <r>
    <n v="16988"/>
    <s v="ES-2014-BE1141048-41967"/>
    <x v="68"/>
    <s v="11/25/2014"/>
    <s v="First Class"/>
    <s v="BE-1141048"/>
    <x v="58"/>
    <s v="Consumer"/>
    <m/>
    <s v="Duisburg"/>
    <s v="North Rhine-Westphalia"/>
    <x v="2"/>
    <x v="2"/>
    <s v="Europe"/>
    <s v="TEC-CO-3599"/>
    <x v="0"/>
    <s v="Copiers"/>
    <s v="Brother Ink, Color"/>
    <n v="1487.4"/>
    <n v="10"/>
    <n v="0"/>
    <n v="728.7"/>
    <n v="580.98"/>
    <s v="Critical"/>
  </r>
  <r>
    <n v="24443"/>
    <s v="IN-2012-SZ2003527-41221"/>
    <x v="60"/>
    <d v="2012-10-11T00:00:00"/>
    <s v="Second Class"/>
    <s v="SZ-2003527"/>
    <x v="59"/>
    <s v="Home Office"/>
    <m/>
    <s v="Nanchong"/>
    <s v="Sichuan"/>
    <x v="8"/>
    <x v="8"/>
    <s v="Asia Pacific"/>
    <s v="TEC-CO-6010"/>
    <x v="0"/>
    <s v="Copiers"/>
    <s v="Sharp Wireless Fax, Digital"/>
    <n v="3200.04"/>
    <n v="9"/>
    <n v="0"/>
    <n v="1183.95"/>
    <n v="576.71"/>
    <s v="Medium"/>
  </r>
  <r>
    <n v="30199"/>
    <s v="IN-2012-RM1937558-41209"/>
    <x v="69"/>
    <s v="10/27/2012"/>
    <s v="Same Day"/>
    <s v="RM-1937558"/>
    <x v="60"/>
    <s v="Consumer"/>
    <m/>
    <s v="Naihati"/>
    <s v="West Bengal"/>
    <x v="17"/>
    <x v="5"/>
    <s v="Asia Pacific"/>
    <s v="FUR-CH-5380"/>
    <x v="1"/>
    <s v="Chairs"/>
    <s v="Novimex Executive Leather Armchair, Red"/>
    <n v="2301"/>
    <n v="5"/>
    <n v="0"/>
    <n v="91.95"/>
    <n v="573.27"/>
    <s v="Critical"/>
  </r>
  <r>
    <n v="13879"/>
    <s v="ES-2015-HG1484545-42327"/>
    <x v="70"/>
    <s v="11/23/2015"/>
    <s v="Standard Class"/>
    <s v="HG-1484545"/>
    <x v="61"/>
    <s v="Consumer"/>
    <m/>
    <s v="Lille"/>
    <s v="Nord-Pas-de-Calais-Picardie"/>
    <x v="9"/>
    <x v="2"/>
    <s v="Europe"/>
    <s v="FUR-CH-4654"/>
    <x v="1"/>
    <s v="Chairs"/>
    <s v="Hon Executive Leather Armchair, Adjustable"/>
    <n v="5729.35"/>
    <n v="14"/>
    <n v="0.1"/>
    <n v="63.55"/>
    <n v="572.95000000000005"/>
    <s v="High"/>
  </r>
  <r>
    <n v="50788"/>
    <s v="MO-2015-DP310586-42305"/>
    <x v="71"/>
    <s v="10/30/2015"/>
    <s v="Second Class"/>
    <s v="DP-310586"/>
    <x v="27"/>
    <s v="Corporate"/>
    <m/>
    <s v="Meknes"/>
    <s v="MeknÃƒÂ¨s-Tafilalet"/>
    <x v="28"/>
    <x v="19"/>
    <s v="Africa"/>
    <s v="TEC-CO-3710"/>
    <x v="0"/>
    <s v="Copiers"/>
    <s v="Canon Wireless Fax, Laser"/>
    <n v="5301.24"/>
    <n v="14"/>
    <n v="0"/>
    <n v="2597.2800000000002"/>
    <n v="568.45000000000005"/>
    <s v="Medium"/>
  </r>
  <r>
    <n v="40834"/>
    <s v="CA-2014-AS10045140-41908"/>
    <x v="72"/>
    <s v="9/28/2014"/>
    <s v="First Class"/>
    <s v="AS-100451404"/>
    <x v="48"/>
    <s v="Corporate"/>
    <n v="94110"/>
    <s v="San Francisco"/>
    <s v="California"/>
    <x v="0"/>
    <x v="4"/>
    <s v="USCA"/>
    <s v="FUR-BO-3176"/>
    <x v="1"/>
    <s v="Bookcases"/>
    <s v="Atlantic Metals Mobile 4-Shelf Bookcases, Custom Colors"/>
    <n v="477.67"/>
    <n v="2"/>
    <n v="0.15"/>
    <n v="84.29"/>
    <n v="43.01"/>
    <s v="Critical"/>
  </r>
  <r>
    <n v="40425"/>
    <s v="US-2015-AS10045140-42252"/>
    <x v="21"/>
    <d v="2015-06-09T00:00:00"/>
    <s v="First Class"/>
    <s v="AS-100451404"/>
    <x v="48"/>
    <s v="Corporate"/>
    <n v="97756"/>
    <s v="Redmond"/>
    <s v="Oregon"/>
    <x v="0"/>
    <x v="4"/>
    <s v="USCA"/>
    <s v="OFF-BI-3324"/>
    <x v="2"/>
    <s v="Binders"/>
    <s v="Avery Trapezoid Extra Heavy Duty 4 Binders&quot;&quot;"/>
    <n v="88.07"/>
    <n v="7"/>
    <n v="0.7"/>
    <n v="-58.72"/>
    <n v="23.88"/>
    <s v="High"/>
  </r>
  <r>
    <n v="18241"/>
    <s v="ES-2014-JB1600048-41668"/>
    <x v="73"/>
    <d v="2014-05-02T00:00:00"/>
    <s v="Standard Class"/>
    <s v="JB-1600048"/>
    <x v="30"/>
    <s v="Consumer"/>
    <m/>
    <s v="Krefeld"/>
    <s v="North Rhine-Westphalia"/>
    <x v="2"/>
    <x v="2"/>
    <s v="Europe"/>
    <s v="TEC-PH-5268"/>
    <x v="0"/>
    <s v="Phones"/>
    <s v="Motorola Smart Phone, Full Size"/>
    <n v="3219.9"/>
    <n v="5"/>
    <n v="0"/>
    <n v="965.85"/>
    <n v="564.25"/>
    <s v="Low"/>
  </r>
  <r>
    <n v="23013"/>
    <s v="ID-2013-AM1070559-41535"/>
    <x v="74"/>
    <s v="9/21/2013"/>
    <s v="Second Class"/>
    <s v="AM-1070559"/>
    <x v="62"/>
    <s v="Consumer"/>
    <m/>
    <s v="Bandung"/>
    <s v="Jawa Barat"/>
    <x v="20"/>
    <x v="17"/>
    <s v="Asia Pacific"/>
    <s v="OFF-AP-4501"/>
    <x v="2"/>
    <s v="Appliances"/>
    <s v="Hamilton Beach Refrigerator, Black"/>
    <n v="2487.81"/>
    <n v="6"/>
    <n v="0.17"/>
    <n v="-269.79000000000002"/>
    <n v="562.14"/>
    <s v="Critical"/>
  </r>
  <r>
    <n v="45616"/>
    <s v="MO-2014-AB25586-41966"/>
    <x v="75"/>
    <s v="11/23/2014"/>
    <s v="Same Day"/>
    <s v="AB-25586"/>
    <x v="63"/>
    <s v="Home Office"/>
    <m/>
    <s v="Casablanca"/>
    <s v="Grand Casablanca"/>
    <x v="28"/>
    <x v="19"/>
    <s v="Africa"/>
    <s v="OFF-AP-4745"/>
    <x v="2"/>
    <s v="Appliances"/>
    <s v="Hoover Stove, White"/>
    <n v="2266.44"/>
    <n v="4"/>
    <n v="0"/>
    <n v="113.28"/>
    <n v="556.45000000000005"/>
    <s v="Medium"/>
  </r>
  <r>
    <n v="25026"/>
    <s v="IN-2013-RP192707-41438"/>
    <x v="76"/>
    <s v="6/13/2013"/>
    <s v="Same Day"/>
    <s v="RP-192707"/>
    <x v="64"/>
    <s v="Corporate"/>
    <m/>
    <s v="Sydney"/>
    <s v="New South Wales"/>
    <x v="1"/>
    <x v="1"/>
    <s v="Asia Pacific"/>
    <s v="TEC-CO-3611"/>
    <x v="0"/>
    <s v="Copiers"/>
    <s v="Brother Wireless Fax, Laser"/>
    <n v="3068.36"/>
    <n v="9"/>
    <n v="0.1"/>
    <n v="1124.9000000000001"/>
    <n v="555.77"/>
    <s v="High"/>
  </r>
  <r>
    <n v="27962"/>
    <s v="IN-2014-BK1126011-41940"/>
    <x v="77"/>
    <s v="10/31/2014"/>
    <s v="First Class"/>
    <s v="BK-1126011"/>
    <x v="65"/>
    <s v="Consumer"/>
    <m/>
    <s v="Tongi"/>
    <s v="Dhaka"/>
    <x v="24"/>
    <x v="5"/>
    <s v="Asia Pacific"/>
    <s v="FUR-BO-4849"/>
    <x v="1"/>
    <s v="Bookcases"/>
    <s v="Ikea Classic Bookcase, Mobile"/>
    <n v="3728.43"/>
    <n v="9"/>
    <n v="0"/>
    <n v="1192.8599999999999"/>
    <n v="553.30999999999995"/>
    <s v="Medium"/>
  </r>
  <r>
    <n v="26669"/>
    <s v="IN-2014-JM1525027-41985"/>
    <x v="78"/>
    <s v="12/14/2014"/>
    <s v="First Class"/>
    <s v="JM-1525027"/>
    <x v="66"/>
    <s v="Consumer"/>
    <m/>
    <s v="Suzhou"/>
    <s v="Anhui"/>
    <x v="8"/>
    <x v="8"/>
    <s v="Asia Pacific"/>
    <s v="TEC-CO-3678"/>
    <x v="0"/>
    <s v="Copiers"/>
    <s v="Canon Copy Machine, Color"/>
    <n v="1581.48"/>
    <n v="6"/>
    <n v="0"/>
    <n v="0"/>
    <n v="550.74"/>
    <s v="High"/>
  </r>
  <r>
    <n v="29600"/>
    <s v="IN-2013-GP1474058-41419"/>
    <x v="49"/>
    <s v="5/28/2013"/>
    <s v="Second Class"/>
    <s v="GP-1474058"/>
    <x v="42"/>
    <s v="Corporate"/>
    <m/>
    <s v="Delhi"/>
    <s v="Delhi"/>
    <x v="17"/>
    <x v="5"/>
    <s v="Asia Pacific"/>
    <s v="TEC-PH-5356"/>
    <x v="0"/>
    <s v="Phones"/>
    <s v="Nokia Smart Phone, with Caller ID"/>
    <n v="1916.73"/>
    <n v="3"/>
    <n v="0"/>
    <n v="498.33"/>
    <n v="548.4"/>
    <s v="Critical"/>
  </r>
  <r>
    <n v="34336"/>
    <s v="CA-2015-AS10045140-42281"/>
    <x v="79"/>
    <d v="2015-09-10T00:00:00"/>
    <s v="Standard Class"/>
    <s v="AS-100451404"/>
    <x v="48"/>
    <s v="Corporate"/>
    <n v="91104"/>
    <s v="Pasadena"/>
    <s v="California"/>
    <x v="0"/>
    <x v="4"/>
    <s v="USCA"/>
    <s v="FUR-TA-5066"/>
    <x v="1"/>
    <s v="Tables"/>
    <s v="Lesro Sheffield Collection Coffee Table, End Table, Center Table, Corner Table"/>
    <n v="171.29"/>
    <n v="3"/>
    <n v="0.2"/>
    <n v="-6.42"/>
    <n v="12.65"/>
    <s v="Medium"/>
  </r>
  <r>
    <n v="19195"/>
    <s v="ES-2014-NZ1856545-41975"/>
    <x v="80"/>
    <d v="2014-02-12T00:00:00"/>
    <s v="Same Day"/>
    <s v="NZ-1856545"/>
    <x v="67"/>
    <s v="Home Office"/>
    <m/>
    <s v="Paris"/>
    <s v="Ile-de-France"/>
    <x v="9"/>
    <x v="2"/>
    <s v="Europe"/>
    <s v="OFF-AP-4508"/>
    <x v="2"/>
    <s v="Appliances"/>
    <s v="Hamilton Beach Stove, White"/>
    <n v="2432.16"/>
    <n v="5"/>
    <n v="0.1"/>
    <n v="513.36"/>
    <n v="546.9"/>
    <s v="Critical"/>
  </r>
  <r>
    <n v="32639"/>
    <s v="CA-2015-AS10045140-42007"/>
    <x v="56"/>
    <d v="2015-05-01T00:00:00"/>
    <s v="First Class"/>
    <s v="AS-100451408"/>
    <x v="48"/>
    <s v="Corporate"/>
    <n v="28540"/>
    <s v="Jacksonville"/>
    <s v="North Carolina"/>
    <x v="0"/>
    <x v="18"/>
    <s v="USCA"/>
    <s v="OFF-BI-3308"/>
    <x v="2"/>
    <s v="Binders"/>
    <s v="Avery Recycled Flexi-View Covers for Binding Systems"/>
    <n v="28.85"/>
    <n v="6"/>
    <n v="0.7"/>
    <n v="-21.16"/>
    <n v="5.35"/>
    <s v="High"/>
  </r>
  <r>
    <n v="26731"/>
    <s v="ID-2014-SC20695102-41667"/>
    <x v="3"/>
    <s v="1/30/2014"/>
    <s v="First Class"/>
    <s v="SC-20695102"/>
    <x v="68"/>
    <s v="Corporate"/>
    <m/>
    <s v="Manila"/>
    <s v="National Capital"/>
    <x v="29"/>
    <x v="17"/>
    <s v="Asia Pacific"/>
    <s v="FUR-CH-5443"/>
    <x v="1"/>
    <s v="Chairs"/>
    <s v="Office Star Executive Leather Armchair, Red"/>
    <n v="2465.8200000000002"/>
    <n v="7"/>
    <n v="0.25"/>
    <n v="197.19"/>
    <n v="546.49"/>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97FBE9-6126-40E0-BC4E-8DBA549C56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5">
    <pivotField showAll="0"/>
    <pivotField showAll="0"/>
    <pivotField showAll="0">
      <items count="158">
        <item m="1" x="111"/>
        <item m="1" x="132"/>
        <item m="1" x="83"/>
        <item m="1" x="150"/>
        <item m="1" x="95"/>
        <item m="1" x="82"/>
        <item m="1" x="122"/>
        <item m="1" x="146"/>
        <item m="1" x="154"/>
        <item m="1" x="148"/>
        <item m="1" x="91"/>
        <item m="1" x="147"/>
        <item m="1" x="136"/>
        <item m="1" x="139"/>
        <item m="1" x="152"/>
        <item m="1" x="145"/>
        <item m="1" x="115"/>
        <item m="1" x="100"/>
        <item m="1" x="135"/>
        <item m="1" x="124"/>
        <item m="1" x="121"/>
        <item m="1" x="129"/>
        <item m="1" x="90"/>
        <item m="1" x="104"/>
        <item m="1" x="106"/>
        <item m="1" x="110"/>
        <item m="1" x="93"/>
        <item m="1" x="103"/>
        <item m="1" x="98"/>
        <item m="1" x="101"/>
        <item m="1" x="117"/>
        <item m="1" x="140"/>
        <item m="1" x="87"/>
        <item m="1" x="89"/>
        <item m="1" x="102"/>
        <item m="1" x="143"/>
        <item m="1" x="126"/>
        <item m="1" x="125"/>
        <item m="1" x="153"/>
        <item m="1" x="85"/>
        <item m="1" x="105"/>
        <item m="1" x="92"/>
        <item m="1" x="113"/>
        <item m="1" x="141"/>
        <item m="1" x="119"/>
        <item m="1" x="131"/>
        <item m="1" x="108"/>
        <item m="1" x="151"/>
        <item m="1" x="123"/>
        <item m="1" x="142"/>
        <item m="1" x="116"/>
        <item m="1" x="149"/>
        <item m="1" x="114"/>
        <item m="1" x="97"/>
        <item x="34"/>
        <item m="1" x="107"/>
        <item x="14"/>
        <item x="8"/>
        <item x="23"/>
        <item x="24"/>
        <item x="19"/>
        <item x="31"/>
        <item m="1" x="88"/>
        <item m="1" x="86"/>
        <item m="1" x="137"/>
        <item x="30"/>
        <item x="39"/>
        <item m="1" x="112"/>
        <item x="45"/>
        <item x="69"/>
        <item x="29"/>
        <item x="6"/>
        <item x="60"/>
        <item x="62"/>
        <item m="1" x="109"/>
        <item x="22"/>
        <item x="10"/>
        <item x="26"/>
        <item x="32"/>
        <item x="25"/>
        <item x="7"/>
        <item x="9"/>
        <item x="49"/>
        <item x="48"/>
        <item x="76"/>
        <item x="27"/>
        <item x="18"/>
        <item x="74"/>
        <item x="65"/>
        <item x="11"/>
        <item x="38"/>
        <item x="28"/>
        <item x="3"/>
        <item x="73"/>
        <item x="1"/>
        <item m="1" x="156"/>
        <item x="20"/>
        <item x="41"/>
        <item x="40"/>
        <item x="63"/>
        <item m="1" x="81"/>
        <item m="1" x="84"/>
        <item x="12"/>
        <item x="61"/>
        <item x="5"/>
        <item m="1" x="138"/>
        <item m="1" x="118"/>
        <item x="35"/>
        <item x="54"/>
        <item x="72"/>
        <item x="2"/>
        <item x="77"/>
        <item x="4"/>
        <item x="0"/>
        <item x="75"/>
        <item x="68"/>
        <item x="80"/>
        <item x="78"/>
        <item x="47"/>
        <item x="56"/>
        <item m="1" x="120"/>
        <item x="33"/>
        <item x="55"/>
        <item x="16"/>
        <item m="1" x="144"/>
        <item m="1" x="133"/>
        <item x="51"/>
        <item m="1" x="155"/>
        <item x="43"/>
        <item m="1" x="127"/>
        <item m="1" x="99"/>
        <item m="1" x="96"/>
        <item x="66"/>
        <item m="1" x="134"/>
        <item x="13"/>
        <item x="67"/>
        <item x="50"/>
        <item m="1" x="94"/>
        <item x="53"/>
        <item x="64"/>
        <item x="42"/>
        <item x="21"/>
        <item x="15"/>
        <item x="46"/>
        <item x="37"/>
        <item x="79"/>
        <item x="71"/>
        <item m="1" x="128"/>
        <item m="1" x="130"/>
        <item x="36"/>
        <item x="70"/>
        <item x="59"/>
        <item x="17"/>
        <item x="57"/>
        <item x="58"/>
        <item x="44"/>
        <item x="52"/>
        <item t="default"/>
      </items>
    </pivotField>
    <pivotField showAll="0"/>
    <pivotField showAll="0"/>
    <pivotField showAll="0"/>
    <pivotField showAll="0"/>
    <pivotField showAll="0"/>
    <pivotField showAll="0"/>
    <pivotField showAll="0"/>
    <pivotField showAll="0"/>
    <pivotField showAll="0">
      <items count="31">
        <item x="5"/>
        <item x="1"/>
        <item x="24"/>
        <item x="7"/>
        <item x="8"/>
        <item x="19"/>
        <item x="18"/>
        <item x="15"/>
        <item x="9"/>
        <item x="2"/>
        <item x="17"/>
        <item x="20"/>
        <item x="22"/>
        <item x="10"/>
        <item x="14"/>
        <item x="28"/>
        <item x="23"/>
        <item x="4"/>
        <item x="27"/>
        <item x="29"/>
        <item x="12"/>
        <item x="6"/>
        <item x="3"/>
        <item x="25"/>
        <item x="16"/>
        <item x="11"/>
        <item x="26"/>
        <item x="13"/>
        <item x="0"/>
        <item x="21"/>
        <item t="default"/>
      </items>
    </pivotField>
    <pivotField showAll="0">
      <items count="21">
        <item x="15"/>
        <item x="16"/>
        <item x="13"/>
        <item x="0"/>
        <item x="10"/>
        <item x="8"/>
        <item x="11"/>
        <item x="14"/>
        <item x="19"/>
        <item x="12"/>
        <item x="1"/>
        <item x="7"/>
        <item x="17"/>
        <item x="5"/>
        <item x="9"/>
        <item x="18"/>
        <item x="3"/>
        <item x="6"/>
        <item x="2"/>
        <item x="4"/>
        <item t="default"/>
      </items>
    </pivotField>
    <pivotField showAll="0"/>
    <pivotField showAll="0"/>
    <pivotField axis="axisRow" showAll="0">
      <items count="4">
        <item x="1"/>
        <item x="2"/>
        <item x="0"/>
        <item t="default"/>
      </items>
    </pivotField>
    <pivotField showAll="0"/>
    <pivotField showAll="0"/>
    <pivotField dataField="1" numFmtId="164" showAll="0"/>
    <pivotField showAll="0"/>
    <pivotField showAll="0"/>
    <pivotField numFmtId="164" showAll="0"/>
    <pivotField showAll="0"/>
    <pivotField showAll="0"/>
    <pivotField showAll="0">
      <items count="78">
        <item x="30"/>
        <item x="51"/>
        <item x="2"/>
        <item x="69"/>
        <item x="14"/>
        <item x="1"/>
        <item x="41"/>
        <item x="65"/>
        <item x="73"/>
        <item x="67"/>
        <item x="10"/>
        <item x="66"/>
        <item x="55"/>
        <item x="58"/>
        <item x="71"/>
        <item x="64"/>
        <item x="34"/>
        <item x="19"/>
        <item x="54"/>
        <item x="43"/>
        <item x="40"/>
        <item x="48"/>
        <item x="9"/>
        <item x="23"/>
        <item x="25"/>
        <item x="29"/>
        <item x="12"/>
        <item x="22"/>
        <item x="17"/>
        <item x="20"/>
        <item x="36"/>
        <item x="59"/>
        <item x="6"/>
        <item x="8"/>
        <item x="21"/>
        <item x="62"/>
        <item x="45"/>
        <item x="44"/>
        <item x="72"/>
        <item x="4"/>
        <item x="24"/>
        <item x="11"/>
        <item x="32"/>
        <item x="60"/>
        <item x="38"/>
        <item x="50"/>
        <item x="27"/>
        <item x="70"/>
        <item x="42"/>
        <item x="61"/>
        <item x="35"/>
        <item x="68"/>
        <item x="33"/>
        <item x="16"/>
        <item x="76"/>
        <item x="26"/>
        <item x="7"/>
        <item x="5"/>
        <item x="56"/>
        <item x="31"/>
        <item x="28"/>
        <item x="75"/>
        <item x="0"/>
        <item x="3"/>
        <item x="57"/>
        <item x="37"/>
        <item x="39"/>
        <item x="63"/>
        <item x="52"/>
        <item x="74"/>
        <item x="46"/>
        <item x="18"/>
        <item x="15"/>
        <item x="53"/>
        <item x="13"/>
        <item x="47"/>
        <item x="49"/>
        <item t="default"/>
      </items>
    </pivotField>
  </pivotFields>
  <rowFields count="1">
    <field x="15"/>
  </rowFields>
  <rowItems count="4">
    <i>
      <x/>
    </i>
    <i>
      <x v="1"/>
    </i>
    <i>
      <x v="2"/>
    </i>
    <i t="grand">
      <x/>
    </i>
  </rowItems>
  <colItems count="1">
    <i/>
  </colItems>
  <dataFields count="1">
    <dataField name="Sum of Sales" fld="18" baseField="0" baseItem="0" numFmtId="164"/>
  </dataField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171B00-F367-42C2-92D6-E5A4B42A90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5" firstHeaderRow="1" firstDataRow="1" firstDataCol="1"/>
  <pivotFields count="25">
    <pivotField showAll="0"/>
    <pivotField showAll="0"/>
    <pivotField axis="axisRow" showAll="0">
      <items count="158">
        <item m="1" x="111"/>
        <item m="1" x="132"/>
        <item m="1" x="83"/>
        <item m="1" x="150"/>
        <item m="1" x="95"/>
        <item m="1" x="82"/>
        <item m="1" x="122"/>
        <item m="1" x="146"/>
        <item m="1" x="154"/>
        <item m="1" x="148"/>
        <item m="1" x="91"/>
        <item m="1" x="147"/>
        <item m="1" x="136"/>
        <item m="1" x="139"/>
        <item m="1" x="152"/>
        <item m="1" x="145"/>
        <item m="1" x="115"/>
        <item m="1" x="100"/>
        <item m="1" x="135"/>
        <item m="1" x="124"/>
        <item m="1" x="121"/>
        <item m="1" x="129"/>
        <item m="1" x="90"/>
        <item m="1" x="104"/>
        <item m="1" x="106"/>
        <item m="1" x="110"/>
        <item m="1" x="93"/>
        <item m="1" x="103"/>
        <item m="1" x="98"/>
        <item m="1" x="101"/>
        <item m="1" x="117"/>
        <item m="1" x="140"/>
        <item m="1" x="87"/>
        <item m="1" x="89"/>
        <item m="1" x="102"/>
        <item m="1" x="143"/>
        <item m="1" x="126"/>
        <item m="1" x="125"/>
        <item m="1" x="153"/>
        <item m="1" x="85"/>
        <item m="1" x="105"/>
        <item m="1" x="92"/>
        <item m="1" x="113"/>
        <item m="1" x="141"/>
        <item m="1" x="119"/>
        <item m="1" x="131"/>
        <item m="1" x="108"/>
        <item m="1" x="151"/>
        <item m="1" x="123"/>
        <item m="1" x="142"/>
        <item m="1" x="116"/>
        <item m="1" x="149"/>
        <item m="1" x="114"/>
        <item m="1" x="97"/>
        <item x="34"/>
        <item m="1" x="107"/>
        <item x="14"/>
        <item x="8"/>
        <item x="23"/>
        <item x="24"/>
        <item x="19"/>
        <item x="31"/>
        <item m="1" x="88"/>
        <item m="1" x="86"/>
        <item m="1" x="137"/>
        <item x="30"/>
        <item x="39"/>
        <item m="1" x="112"/>
        <item x="45"/>
        <item x="69"/>
        <item x="29"/>
        <item x="6"/>
        <item x="60"/>
        <item x="62"/>
        <item m="1" x="109"/>
        <item x="22"/>
        <item x="10"/>
        <item x="26"/>
        <item x="32"/>
        <item x="25"/>
        <item x="7"/>
        <item x="9"/>
        <item x="49"/>
        <item x="48"/>
        <item x="76"/>
        <item x="27"/>
        <item x="18"/>
        <item x="74"/>
        <item x="65"/>
        <item x="11"/>
        <item x="38"/>
        <item x="28"/>
        <item x="3"/>
        <item x="73"/>
        <item x="1"/>
        <item m="1" x="156"/>
        <item x="20"/>
        <item x="41"/>
        <item x="40"/>
        <item x="63"/>
        <item m="1" x="81"/>
        <item m="1" x="84"/>
        <item x="12"/>
        <item x="61"/>
        <item x="5"/>
        <item m="1" x="138"/>
        <item m="1" x="118"/>
        <item x="35"/>
        <item x="54"/>
        <item x="72"/>
        <item x="2"/>
        <item x="77"/>
        <item x="4"/>
        <item x="0"/>
        <item x="75"/>
        <item x="68"/>
        <item x="80"/>
        <item x="78"/>
        <item x="47"/>
        <item x="56"/>
        <item m="1" x="120"/>
        <item x="33"/>
        <item x="55"/>
        <item x="16"/>
        <item m="1" x="144"/>
        <item m="1" x="133"/>
        <item x="51"/>
        <item m="1" x="155"/>
        <item x="43"/>
        <item m="1" x="127"/>
        <item m="1" x="99"/>
        <item m="1" x="96"/>
        <item x="66"/>
        <item m="1" x="134"/>
        <item x="13"/>
        <item x="67"/>
        <item x="50"/>
        <item m="1" x="94"/>
        <item x="53"/>
        <item x="64"/>
        <item x="42"/>
        <item x="21"/>
        <item x="15"/>
        <item x="46"/>
        <item x="37"/>
        <item x="79"/>
        <item x="71"/>
        <item m="1" x="128"/>
        <item m="1" x="130"/>
        <item x="36"/>
        <item x="70"/>
        <item x="59"/>
        <item x="17"/>
        <item x="57"/>
        <item x="58"/>
        <item x="44"/>
        <item x="52"/>
        <item t="default"/>
      </items>
    </pivotField>
    <pivotField showAll="0"/>
    <pivotField showAll="0"/>
    <pivotField showAll="0"/>
    <pivotField showAll="0"/>
    <pivotField showAll="0"/>
    <pivotField showAll="0"/>
    <pivotField showAll="0"/>
    <pivotField showAll="0"/>
    <pivotField showAll="0">
      <items count="31">
        <item x="5"/>
        <item x="1"/>
        <item x="24"/>
        <item x="7"/>
        <item x="8"/>
        <item x="19"/>
        <item x="18"/>
        <item x="15"/>
        <item x="9"/>
        <item x="2"/>
        <item x="17"/>
        <item x="20"/>
        <item x="22"/>
        <item x="10"/>
        <item x="14"/>
        <item x="28"/>
        <item x="23"/>
        <item x="4"/>
        <item x="27"/>
        <item x="29"/>
        <item x="12"/>
        <item x="6"/>
        <item x="3"/>
        <item x="25"/>
        <item x="16"/>
        <item x="11"/>
        <item x="26"/>
        <item x="13"/>
        <item x="0"/>
        <item x="21"/>
        <item t="default"/>
      </items>
    </pivotField>
    <pivotField showAll="0">
      <items count="21">
        <item x="15"/>
        <item x="16"/>
        <item x="13"/>
        <item x="0"/>
        <item x="10"/>
        <item x="8"/>
        <item x="11"/>
        <item x="14"/>
        <item x="19"/>
        <item x="12"/>
        <item x="1"/>
        <item x="7"/>
        <item x="17"/>
        <item x="5"/>
        <item x="9"/>
        <item x="18"/>
        <item x="3"/>
        <item x="6"/>
        <item x="2"/>
        <item x="4"/>
        <item t="default"/>
      </items>
    </pivotField>
    <pivotField showAll="0"/>
    <pivotField showAll="0"/>
    <pivotField showAll="0">
      <items count="4">
        <item x="1"/>
        <item x="2"/>
        <item x="0"/>
        <item t="default"/>
      </items>
    </pivotField>
    <pivotField showAll="0"/>
    <pivotField showAll="0"/>
    <pivotField dataField="1" numFmtId="164" showAll="0"/>
    <pivotField showAll="0"/>
    <pivotField showAll="0"/>
    <pivotField numFmtId="164" showAll="0"/>
    <pivotField showAll="0"/>
    <pivotField showAll="0"/>
    <pivotField showAll="0">
      <items count="78">
        <item x="30"/>
        <item x="51"/>
        <item x="2"/>
        <item x="69"/>
        <item x="14"/>
        <item x="1"/>
        <item x="41"/>
        <item x="65"/>
        <item x="73"/>
        <item x="67"/>
        <item x="10"/>
        <item x="66"/>
        <item x="55"/>
        <item x="58"/>
        <item x="71"/>
        <item x="64"/>
        <item x="34"/>
        <item x="19"/>
        <item x="54"/>
        <item x="43"/>
        <item x="40"/>
        <item x="48"/>
        <item x="9"/>
        <item x="23"/>
        <item x="25"/>
        <item x="29"/>
        <item x="12"/>
        <item x="22"/>
        <item x="17"/>
        <item x="20"/>
        <item x="36"/>
        <item x="59"/>
        <item x="6"/>
        <item x="8"/>
        <item x="21"/>
        <item x="62"/>
        <item x="45"/>
        <item x="44"/>
        <item x="72"/>
        <item x="4"/>
        <item x="24"/>
        <item x="11"/>
        <item x="32"/>
        <item x="60"/>
        <item x="38"/>
        <item x="50"/>
        <item x="27"/>
        <item x="70"/>
        <item x="42"/>
        <item x="61"/>
        <item x="35"/>
        <item x="68"/>
        <item x="33"/>
        <item x="16"/>
        <item x="76"/>
        <item x="26"/>
        <item x="7"/>
        <item x="5"/>
        <item x="56"/>
        <item x="31"/>
        <item x="28"/>
        <item x="75"/>
        <item x="0"/>
        <item x="3"/>
        <item x="57"/>
        <item x="37"/>
        <item x="39"/>
        <item x="63"/>
        <item x="52"/>
        <item x="74"/>
        <item x="46"/>
        <item x="18"/>
        <item x="15"/>
        <item x="53"/>
        <item x="13"/>
        <item x="47"/>
        <item x="49"/>
        <item t="default"/>
      </items>
    </pivotField>
  </pivotFields>
  <rowFields count="1">
    <field x="2"/>
  </rowFields>
  <rowItems count="82">
    <i>
      <x v="54"/>
    </i>
    <i>
      <x v="56"/>
    </i>
    <i>
      <x v="57"/>
    </i>
    <i>
      <x v="58"/>
    </i>
    <i>
      <x v="59"/>
    </i>
    <i>
      <x v="60"/>
    </i>
    <i>
      <x v="61"/>
    </i>
    <i>
      <x v="65"/>
    </i>
    <i>
      <x v="66"/>
    </i>
    <i>
      <x v="68"/>
    </i>
    <i>
      <x v="69"/>
    </i>
    <i>
      <x v="70"/>
    </i>
    <i>
      <x v="71"/>
    </i>
    <i>
      <x v="72"/>
    </i>
    <i>
      <x v="73"/>
    </i>
    <i>
      <x v="75"/>
    </i>
    <i>
      <x v="76"/>
    </i>
    <i>
      <x v="77"/>
    </i>
    <i>
      <x v="78"/>
    </i>
    <i>
      <x v="79"/>
    </i>
    <i>
      <x v="80"/>
    </i>
    <i>
      <x v="81"/>
    </i>
    <i>
      <x v="82"/>
    </i>
    <i>
      <x v="83"/>
    </i>
    <i>
      <x v="84"/>
    </i>
    <i>
      <x v="85"/>
    </i>
    <i>
      <x v="86"/>
    </i>
    <i>
      <x v="87"/>
    </i>
    <i>
      <x v="88"/>
    </i>
    <i>
      <x v="89"/>
    </i>
    <i>
      <x v="90"/>
    </i>
    <i>
      <x v="91"/>
    </i>
    <i>
      <x v="92"/>
    </i>
    <i>
      <x v="93"/>
    </i>
    <i>
      <x v="94"/>
    </i>
    <i>
      <x v="96"/>
    </i>
    <i>
      <x v="97"/>
    </i>
    <i>
      <x v="98"/>
    </i>
    <i>
      <x v="99"/>
    </i>
    <i>
      <x v="102"/>
    </i>
    <i>
      <x v="103"/>
    </i>
    <i>
      <x v="104"/>
    </i>
    <i>
      <x v="107"/>
    </i>
    <i>
      <x v="108"/>
    </i>
    <i>
      <x v="109"/>
    </i>
    <i>
      <x v="110"/>
    </i>
    <i>
      <x v="111"/>
    </i>
    <i>
      <x v="112"/>
    </i>
    <i>
      <x v="113"/>
    </i>
    <i>
      <x v="114"/>
    </i>
    <i>
      <x v="115"/>
    </i>
    <i>
      <x v="116"/>
    </i>
    <i>
      <x v="117"/>
    </i>
    <i>
      <x v="118"/>
    </i>
    <i>
      <x v="119"/>
    </i>
    <i>
      <x v="121"/>
    </i>
    <i>
      <x v="122"/>
    </i>
    <i>
      <x v="123"/>
    </i>
    <i>
      <x v="126"/>
    </i>
    <i>
      <x v="128"/>
    </i>
    <i>
      <x v="132"/>
    </i>
    <i>
      <x v="134"/>
    </i>
    <i>
      <x v="135"/>
    </i>
    <i>
      <x v="136"/>
    </i>
    <i>
      <x v="138"/>
    </i>
    <i>
      <x v="139"/>
    </i>
    <i>
      <x v="140"/>
    </i>
    <i>
      <x v="141"/>
    </i>
    <i>
      <x v="142"/>
    </i>
    <i>
      <x v="143"/>
    </i>
    <i>
      <x v="144"/>
    </i>
    <i>
      <x v="145"/>
    </i>
    <i>
      <x v="146"/>
    </i>
    <i>
      <x v="149"/>
    </i>
    <i>
      <x v="150"/>
    </i>
    <i>
      <x v="151"/>
    </i>
    <i>
      <x v="152"/>
    </i>
    <i>
      <x v="153"/>
    </i>
    <i>
      <x v="154"/>
    </i>
    <i>
      <x v="155"/>
    </i>
    <i>
      <x v="156"/>
    </i>
    <i t="grand">
      <x/>
    </i>
  </rowItems>
  <colItems count="1">
    <i/>
  </colItems>
  <dataFields count="1">
    <dataField name="Sum of Sales" fld="18" baseField="0" baseItem="0" numFmtId="164"/>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2742B-EA48-4C79-88D5-8ECF56D916A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3" firstHeaderRow="1" firstDataRow="1" firstDataCol="1"/>
  <pivotFields count="25">
    <pivotField showAll="0"/>
    <pivotField showAll="0"/>
    <pivotField showAll="0">
      <items count="158">
        <item m="1" x="111"/>
        <item m="1" x="132"/>
        <item m="1" x="83"/>
        <item m="1" x="150"/>
        <item m="1" x="95"/>
        <item m="1" x="82"/>
        <item m="1" x="122"/>
        <item m="1" x="146"/>
        <item m="1" x="154"/>
        <item m="1" x="148"/>
        <item m="1" x="91"/>
        <item m="1" x="147"/>
        <item m="1" x="136"/>
        <item m="1" x="139"/>
        <item m="1" x="152"/>
        <item m="1" x="145"/>
        <item m="1" x="115"/>
        <item m="1" x="100"/>
        <item m="1" x="135"/>
        <item m="1" x="124"/>
        <item m="1" x="121"/>
        <item m="1" x="129"/>
        <item m="1" x="90"/>
        <item m="1" x="104"/>
        <item m="1" x="106"/>
        <item m="1" x="110"/>
        <item m="1" x="93"/>
        <item m="1" x="103"/>
        <item m="1" x="98"/>
        <item m="1" x="101"/>
        <item m="1" x="117"/>
        <item m="1" x="140"/>
        <item m="1" x="87"/>
        <item m="1" x="89"/>
        <item m="1" x="102"/>
        <item m="1" x="143"/>
        <item m="1" x="126"/>
        <item m="1" x="125"/>
        <item m="1" x="153"/>
        <item m="1" x="85"/>
        <item m="1" x="105"/>
        <item m="1" x="92"/>
        <item m="1" x="113"/>
        <item m="1" x="141"/>
        <item m="1" x="119"/>
        <item m="1" x="131"/>
        <item m="1" x="108"/>
        <item m="1" x="151"/>
        <item m="1" x="123"/>
        <item m="1" x="142"/>
        <item m="1" x="116"/>
        <item m="1" x="149"/>
        <item m="1" x="114"/>
        <item m="1" x="97"/>
        <item x="34"/>
        <item m="1" x="107"/>
        <item x="14"/>
        <item x="8"/>
        <item x="23"/>
        <item x="24"/>
        <item x="19"/>
        <item x="31"/>
        <item m="1" x="88"/>
        <item m="1" x="86"/>
        <item m="1" x="137"/>
        <item x="30"/>
        <item x="39"/>
        <item m="1" x="112"/>
        <item x="45"/>
        <item x="69"/>
        <item x="29"/>
        <item x="6"/>
        <item x="60"/>
        <item x="62"/>
        <item m="1" x="109"/>
        <item x="22"/>
        <item x="10"/>
        <item x="26"/>
        <item x="32"/>
        <item x="25"/>
        <item x="7"/>
        <item x="9"/>
        <item x="49"/>
        <item x="48"/>
        <item x="76"/>
        <item x="27"/>
        <item x="18"/>
        <item x="74"/>
        <item x="65"/>
        <item x="11"/>
        <item x="38"/>
        <item x="28"/>
        <item x="3"/>
        <item x="73"/>
        <item x="1"/>
        <item m="1" x="156"/>
        <item x="20"/>
        <item x="41"/>
        <item x="40"/>
        <item x="63"/>
        <item m="1" x="81"/>
        <item m="1" x="84"/>
        <item x="12"/>
        <item x="61"/>
        <item x="5"/>
        <item m="1" x="138"/>
        <item m="1" x="118"/>
        <item x="35"/>
        <item x="54"/>
        <item x="72"/>
        <item x="2"/>
        <item x="77"/>
        <item x="4"/>
        <item x="0"/>
        <item x="75"/>
        <item x="68"/>
        <item x="80"/>
        <item x="78"/>
        <item x="47"/>
        <item x="56"/>
        <item m="1" x="120"/>
        <item x="33"/>
        <item x="55"/>
        <item x="16"/>
        <item m="1" x="144"/>
        <item m="1" x="133"/>
        <item x="51"/>
        <item m="1" x="155"/>
        <item x="43"/>
        <item m="1" x="127"/>
        <item m="1" x="99"/>
        <item m="1" x="96"/>
        <item x="66"/>
        <item m="1" x="134"/>
        <item x="13"/>
        <item x="67"/>
        <item x="50"/>
        <item m="1" x="94"/>
        <item x="53"/>
        <item x="64"/>
        <item x="42"/>
        <item x="21"/>
        <item x="15"/>
        <item x="46"/>
        <item x="37"/>
        <item x="79"/>
        <item x="71"/>
        <item m="1" x="128"/>
        <item m="1" x="130"/>
        <item x="36"/>
        <item x="70"/>
        <item x="59"/>
        <item x="17"/>
        <item x="57"/>
        <item x="58"/>
        <item x="44"/>
        <item x="52"/>
        <item t="default"/>
      </items>
    </pivotField>
    <pivotField showAll="0"/>
    <pivotField showAll="0"/>
    <pivotField showAll="0"/>
    <pivotField axis="axisRow" showAll="0" sortType="descending">
      <items count="70">
        <item x="0"/>
        <item x="23"/>
        <item x="48"/>
        <item x="57"/>
        <item x="53"/>
        <item x="63"/>
        <item x="16"/>
        <item x="62"/>
        <item x="8"/>
        <item x="36"/>
        <item x="31"/>
        <item x="55"/>
        <item x="12"/>
        <item x="24"/>
        <item x="65"/>
        <item x="26"/>
        <item x="58"/>
        <item x="50"/>
        <item x="44"/>
        <item x="2"/>
        <item x="29"/>
        <item x="49"/>
        <item x="27"/>
        <item x="40"/>
        <item x="47"/>
        <item x="52"/>
        <item x="35"/>
        <item x="22"/>
        <item x="51"/>
        <item x="33"/>
        <item x="42"/>
        <item x="61"/>
        <item x="66"/>
        <item x="17"/>
        <item x="5"/>
        <item x="14"/>
        <item x="38"/>
        <item x="30"/>
        <item x="1"/>
        <item x="3"/>
        <item x="46"/>
        <item x="56"/>
        <item x="18"/>
        <item x="9"/>
        <item x="45"/>
        <item x="7"/>
        <item x="43"/>
        <item x="19"/>
        <item x="67"/>
        <item x="13"/>
        <item x="28"/>
        <item x="11"/>
        <item x="21"/>
        <item x="64"/>
        <item x="60"/>
        <item x="4"/>
        <item x="25"/>
        <item x="15"/>
        <item x="59"/>
        <item x="37"/>
        <item x="41"/>
        <item x="54"/>
        <item x="68"/>
        <item x="6"/>
        <item x="39"/>
        <item x="20"/>
        <item x="10"/>
        <item x="32"/>
        <item x="3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31">
        <item x="5"/>
        <item x="1"/>
        <item x="24"/>
        <item x="7"/>
        <item x="8"/>
        <item x="19"/>
        <item x="18"/>
        <item x="15"/>
        <item x="9"/>
        <item x="2"/>
        <item x="17"/>
        <item x="20"/>
        <item x="22"/>
        <item x="10"/>
        <item x="14"/>
        <item x="28"/>
        <item x="23"/>
        <item x="4"/>
        <item x="27"/>
        <item x="29"/>
        <item x="12"/>
        <item x="6"/>
        <item x="3"/>
        <item x="25"/>
        <item x="16"/>
        <item x="11"/>
        <item x="26"/>
        <item x="13"/>
        <item x="0"/>
        <item x="21"/>
        <item t="default"/>
      </items>
    </pivotField>
    <pivotField showAll="0">
      <items count="21">
        <item x="15"/>
        <item x="16"/>
        <item x="13"/>
        <item x="0"/>
        <item x="10"/>
        <item x="8"/>
        <item x="11"/>
        <item x="14"/>
        <item x="19"/>
        <item x="12"/>
        <item x="1"/>
        <item x="7"/>
        <item x="17"/>
        <item x="5"/>
        <item x="9"/>
        <item x="18"/>
        <item x="3"/>
        <item x="6"/>
        <item x="2"/>
        <item x="4"/>
        <item t="default"/>
      </items>
    </pivotField>
    <pivotField showAll="0"/>
    <pivotField showAll="0"/>
    <pivotField showAll="0">
      <items count="4">
        <item x="1"/>
        <item x="2"/>
        <item x="0"/>
        <item t="default"/>
      </items>
    </pivotField>
    <pivotField showAll="0"/>
    <pivotField showAll="0"/>
    <pivotField dataField="1" numFmtId="164" showAll="0"/>
    <pivotField showAll="0"/>
    <pivotField showAll="0"/>
    <pivotField numFmtId="164" showAll="0"/>
    <pivotField showAll="0"/>
    <pivotField showAll="0"/>
    <pivotField showAll="0">
      <items count="78">
        <item x="30"/>
        <item x="51"/>
        <item x="2"/>
        <item x="69"/>
        <item x="14"/>
        <item x="1"/>
        <item x="41"/>
        <item x="65"/>
        <item x="73"/>
        <item x="67"/>
        <item x="10"/>
        <item x="66"/>
        <item x="55"/>
        <item x="58"/>
        <item x="71"/>
        <item x="64"/>
        <item x="34"/>
        <item x="19"/>
        <item x="54"/>
        <item x="43"/>
        <item x="40"/>
        <item x="48"/>
        <item x="9"/>
        <item x="23"/>
        <item x="25"/>
        <item x="29"/>
        <item x="12"/>
        <item x="22"/>
        <item x="17"/>
        <item x="20"/>
        <item x="36"/>
        <item x="59"/>
        <item x="6"/>
        <item x="8"/>
        <item x="21"/>
        <item x="62"/>
        <item x="45"/>
        <item x="44"/>
        <item x="72"/>
        <item x="4"/>
        <item x="24"/>
        <item x="11"/>
        <item x="32"/>
        <item x="60"/>
        <item x="38"/>
        <item x="50"/>
        <item x="27"/>
        <item x="70"/>
        <item x="42"/>
        <item x="61"/>
        <item x="35"/>
        <item x="68"/>
        <item x="33"/>
        <item x="16"/>
        <item x="76"/>
        <item x="26"/>
        <item x="7"/>
        <item x="5"/>
        <item x="56"/>
        <item x="31"/>
        <item x="28"/>
        <item x="75"/>
        <item x="0"/>
        <item x="3"/>
        <item x="57"/>
        <item x="37"/>
        <item x="39"/>
        <item x="63"/>
        <item x="52"/>
        <item x="74"/>
        <item x="46"/>
        <item x="18"/>
        <item x="15"/>
        <item x="53"/>
        <item x="13"/>
        <item x="47"/>
        <item x="49"/>
        <item t="default"/>
      </items>
    </pivotField>
  </pivotFields>
  <rowFields count="1">
    <field x="6"/>
  </rowFields>
  <rowItems count="70">
    <i>
      <x v="49"/>
    </i>
    <i>
      <x v="22"/>
    </i>
    <i>
      <x v="37"/>
    </i>
    <i>
      <x v="36"/>
    </i>
    <i>
      <x v="29"/>
    </i>
    <i>
      <x v="31"/>
    </i>
    <i>
      <x v="67"/>
    </i>
    <i>
      <x v="1"/>
    </i>
    <i>
      <x v="42"/>
    </i>
    <i>
      <x v="45"/>
    </i>
    <i>
      <x v="19"/>
    </i>
    <i>
      <x v="24"/>
    </i>
    <i>
      <x v="8"/>
    </i>
    <i>
      <x v="10"/>
    </i>
    <i>
      <x v="44"/>
    </i>
    <i>
      <x v="46"/>
    </i>
    <i>
      <x v="50"/>
    </i>
    <i>
      <x v="52"/>
    </i>
    <i>
      <x v="11"/>
    </i>
    <i>
      <x v="14"/>
    </i>
    <i>
      <x v="38"/>
    </i>
    <i>
      <x v="51"/>
    </i>
    <i>
      <x v="30"/>
    </i>
    <i>
      <x v="3"/>
    </i>
    <i>
      <x v="41"/>
    </i>
    <i>
      <x v="57"/>
    </i>
    <i>
      <x v="4"/>
    </i>
    <i>
      <x v="58"/>
    </i>
    <i>
      <x v="27"/>
    </i>
    <i>
      <x v="53"/>
    </i>
    <i>
      <x v="18"/>
    </i>
    <i>
      <x v="68"/>
    </i>
    <i>
      <x v="2"/>
    </i>
    <i>
      <x v="39"/>
    </i>
    <i>
      <x v="20"/>
    </i>
    <i>
      <x v="34"/>
    </i>
    <i>
      <x v="55"/>
    </i>
    <i>
      <x v="9"/>
    </i>
    <i>
      <x v="33"/>
    </i>
    <i>
      <x v="43"/>
    </i>
    <i>
      <x v="23"/>
    </i>
    <i>
      <x v="35"/>
    </i>
    <i>
      <x v="7"/>
    </i>
    <i>
      <x v="62"/>
    </i>
    <i>
      <x v="61"/>
    </i>
    <i>
      <x v="48"/>
    </i>
    <i>
      <x v="15"/>
    </i>
    <i>
      <x v="54"/>
    </i>
    <i>
      <x v="5"/>
    </i>
    <i>
      <x v="66"/>
    </i>
    <i>
      <x v="21"/>
    </i>
    <i>
      <x v="59"/>
    </i>
    <i>
      <x v="64"/>
    </i>
    <i>
      <x v="65"/>
    </i>
    <i>
      <x v="26"/>
    </i>
    <i>
      <x v="6"/>
    </i>
    <i>
      <x v="17"/>
    </i>
    <i>
      <x v="13"/>
    </i>
    <i>
      <x v="12"/>
    </i>
    <i>
      <x v="25"/>
    </i>
    <i>
      <x v="63"/>
    </i>
    <i>
      <x v="47"/>
    </i>
    <i>
      <x v="28"/>
    </i>
    <i>
      <x v="56"/>
    </i>
    <i>
      <x v="32"/>
    </i>
    <i>
      <x v="60"/>
    </i>
    <i>
      <x v="40"/>
    </i>
    <i>
      <x v="16"/>
    </i>
    <i>
      <x/>
    </i>
    <i t="grand">
      <x/>
    </i>
  </rowItems>
  <colItems count="1">
    <i/>
  </colItems>
  <dataFields count="1">
    <dataField name="Sum of Sales" fld="18" baseField="0"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F5CCC7-5330-47EA-8F81-86761A75BAE1}" sourceName="Region">
  <pivotTables>
    <pivotTable tabId="2" name="PivotTable1"/>
    <pivotTable tabId="9" name="PivotTable8"/>
    <pivotTable tabId="10" name="PivotTable9"/>
  </pivotTables>
  <data>
    <tabular pivotCacheId="1268395263">
      <items count="20">
        <i x="15" s="1"/>
        <i x="16" s="1"/>
        <i x="13" s="1"/>
        <i x="0" s="1"/>
        <i x="10" s="1"/>
        <i x="8" s="1"/>
        <i x="11" s="1"/>
        <i x="14" s="1"/>
        <i x="19" s="1"/>
        <i x="12" s="1"/>
        <i x="1" s="1"/>
        <i x="7" s="1"/>
        <i x="17" s="1"/>
        <i x="5" s="1"/>
        <i x="9" s="1"/>
        <i x="18" s="1"/>
        <i x="3" s="1"/>
        <i x="6"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B89C1223-12D4-4963-9610-F3E9681F6E31}" sourceName="Category">
  <pivotTables>
    <pivotTable tabId="2" name="PivotTable1"/>
    <pivotTable tabId="9" name="PivotTable8"/>
    <pivotTable tabId="10" name="PivotTable9"/>
  </pivotTables>
  <data>
    <tabular pivotCacheId="126839526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E8B2A5A-9189-4CBF-8C4F-1C3C51E68219}" sourceName="Country">
  <pivotTables>
    <pivotTable tabId="2" name="PivotTable1"/>
    <pivotTable tabId="9" name="PivotTable8"/>
    <pivotTable tabId="10" name="PivotTable9"/>
  </pivotTables>
  <data>
    <tabular pivotCacheId="1268395263">
      <items count="30">
        <i x="5" s="1"/>
        <i x="1" s="1"/>
        <i x="24" s="1"/>
        <i x="7" s="1"/>
        <i x="8" s="1"/>
        <i x="19" s="1"/>
        <i x="18" s="1"/>
        <i x="15" s="1"/>
        <i x="9" s="1"/>
        <i x="2" s="1"/>
        <i x="17" s="1"/>
        <i x="20" s="1"/>
        <i x="22" s="1"/>
        <i x="10" s="1"/>
        <i x="14" s="1"/>
        <i x="28" s="1"/>
        <i x="23" s="1"/>
        <i x="4" s="1"/>
        <i x="27" s="1"/>
        <i x="29" s="1"/>
        <i x="12" s="1"/>
        <i x="6" s="1"/>
        <i x="3" s="1"/>
        <i x="25" s="1"/>
        <i x="16" s="1"/>
        <i x="11" s="1"/>
        <i x="26" s="1"/>
        <i x="13" s="1"/>
        <i x="0"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3BF33E1-224C-41D0-917C-9340F0C556E5}" cache="Slicer_Region" caption="Region" rowHeight="247650"/>
  <slicer name="Category" xr10:uid="{95218238-4288-4E09-AEFA-8DF6EAD9884D}" cache="Slicer_Category" caption="Category" rowHeight="247650"/>
  <slicer name="Country" xr10:uid="{B71C18CE-B280-4045-82BF-E853FB4BAF94}" cache="Slicer_Country" caption="Count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DF84D9-6C24-4E04-9C7F-9CE171DADAE1}" name="Table1" displayName="Table1" ref="A1:X96" totalsRowShown="0">
  <autoFilter ref="A1:X96" xr:uid="{47DF84D9-6C24-4E04-9C7F-9CE171DADAE1}"/>
  <tableColumns count="24">
    <tableColumn id="1" xr3:uid="{C7DDA630-725B-426A-AA25-55F4AF7C7399}" name="Ã¯Â»Â¿Row ID"/>
    <tableColumn id="2" xr3:uid="{6C273E9F-CAD9-4A44-9239-43EACEC3F763}" name="Order ID"/>
    <tableColumn id="3" xr3:uid="{84A799B0-7C27-404F-A5C4-CCBC2A57FA81}" name="Order Date" dataDxfId="3"/>
    <tableColumn id="4" xr3:uid="{E333CFCF-8D2B-4BBB-A880-BCA53EF5E249}" name="Ship Date" dataDxfId="2"/>
    <tableColumn id="5" xr3:uid="{322BBF4A-3ABA-4442-B17B-98E7E6FCA087}" name="Ship Mode"/>
    <tableColumn id="6" xr3:uid="{7C9F5F5C-3071-4304-9E29-3DF5030D37B0}" name="Customer ID"/>
    <tableColumn id="7" xr3:uid="{B92A0B17-9747-4785-9ABA-06516614450C}" name="Customer Name"/>
    <tableColumn id="8" xr3:uid="{144C91E8-5144-4574-9DA9-148151DDD30A}" name="Segment"/>
    <tableColumn id="9" xr3:uid="{3BA8F5FB-81AA-4015-B157-4C1780F944E6}" name="Postal Code"/>
    <tableColumn id="10" xr3:uid="{30857D11-AE53-4531-846F-900CE4DE2FA7}" name="City"/>
    <tableColumn id="11" xr3:uid="{D7135896-7175-4FA8-AC53-1DACCFE121F8}" name="State"/>
    <tableColumn id="12" xr3:uid="{2F42BBBA-78FB-4C0C-B073-7245512266EB}" name="Country"/>
    <tableColumn id="13" xr3:uid="{5D9581FE-D177-4360-AF48-8669E7EF13D9}" name="Region"/>
    <tableColumn id="14" xr3:uid="{29DA9ADD-64BE-4A72-A497-5B73E0E62A89}" name="Market"/>
    <tableColumn id="15" xr3:uid="{B271EDD7-B40D-4A02-ADD2-4867733C39A3}" name="Product ID"/>
    <tableColumn id="16" xr3:uid="{B3A9A29F-4918-4963-941D-F63F79DC0EBA}" name="Category"/>
    <tableColumn id="17" xr3:uid="{621D4284-DCB1-4090-89C7-B5412E4A2461}" name="Sub-Category"/>
    <tableColumn id="18" xr3:uid="{B988E695-D403-4CEE-A873-8C301986DCB3}" name="Product Name"/>
    <tableColumn id="19" xr3:uid="{E3DB77EE-D954-4170-85CC-7C839DF4461F}" name="Sales" dataDxfId="1"/>
    <tableColumn id="20" xr3:uid="{741E088D-2A02-4542-BE7B-71D28D1D7E46}" name="Quantity"/>
    <tableColumn id="21" xr3:uid="{554AA8E4-355A-458E-B262-153E510DF1A0}" name="Discount"/>
    <tableColumn id="22" xr3:uid="{3E64AB36-5DBD-4602-AEBC-9001673F255E}" name="Profit" dataDxfId="0"/>
    <tableColumn id="23" xr3:uid="{F1D8FBBB-AD2C-4923-AD8D-51EE8259422F}" name="Shipping Cost"/>
    <tableColumn id="24" xr3:uid="{31867FA2-859F-45D4-9AC1-FE38EBF2FD46}" name="Order Prior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ABB4-0FF1-4DA8-A929-E42640900BDD}">
  <dimension ref="A1:X96"/>
  <sheetViews>
    <sheetView topLeftCell="A2" workbookViewId="0">
      <selection activeCell="G22" sqref="A2:X96"/>
    </sheetView>
  </sheetViews>
  <sheetFormatPr defaultRowHeight="14.4" x14ac:dyDescent="0.3"/>
  <cols>
    <col min="1" max="1" width="14.44140625" customWidth="1"/>
    <col min="2" max="2" width="25.44140625" customWidth="1"/>
    <col min="3" max="3" width="11.88671875" style="1" customWidth="1"/>
    <col min="4" max="4" width="10.88671875" customWidth="1"/>
    <col min="5" max="5" width="11.5546875" customWidth="1"/>
    <col min="6" max="6" width="13.109375" customWidth="1"/>
    <col min="7" max="7" width="16.33203125" customWidth="1"/>
    <col min="8" max="8" width="10.21875" customWidth="1"/>
    <col min="9" max="9" width="12.77734375" customWidth="1"/>
    <col min="12" max="12" width="9.33203125" customWidth="1"/>
    <col min="15" max="15" width="11.5546875" customWidth="1"/>
    <col min="16" max="16" width="10.21875" customWidth="1"/>
    <col min="17" max="17" width="14.109375" customWidth="1"/>
    <col min="18" max="18" width="14.77734375" customWidth="1"/>
    <col min="19" max="19" width="9.44140625" style="2" bestFit="1" customWidth="1"/>
    <col min="20" max="20" width="10" customWidth="1"/>
    <col min="21" max="21" width="10.21875" customWidth="1"/>
    <col min="22" max="22" width="9.44140625" style="2" bestFit="1" customWidth="1"/>
    <col min="23" max="23" width="14.33203125" customWidth="1"/>
    <col min="24" max="24" width="14.109375" customWidth="1"/>
  </cols>
  <sheetData>
    <row r="1" spans="1:24" x14ac:dyDescent="0.3">
      <c r="A1" t="s">
        <v>0</v>
      </c>
      <c r="B1" t="s">
        <v>1</v>
      </c>
      <c r="C1" s="1" t="s">
        <v>2</v>
      </c>
      <c r="D1" t="s">
        <v>3</v>
      </c>
      <c r="E1" t="s">
        <v>4</v>
      </c>
      <c r="F1" t="s">
        <v>5</v>
      </c>
      <c r="G1" t="s">
        <v>6</v>
      </c>
      <c r="H1" t="s">
        <v>7</v>
      </c>
      <c r="I1" t="s">
        <v>8</v>
      </c>
      <c r="J1" t="s">
        <v>9</v>
      </c>
      <c r="K1" t="s">
        <v>10</v>
      </c>
      <c r="L1" t="s">
        <v>11</v>
      </c>
      <c r="M1" t="s">
        <v>12</v>
      </c>
      <c r="N1" t="s">
        <v>13</v>
      </c>
      <c r="O1" t="s">
        <v>14</v>
      </c>
      <c r="P1" t="s">
        <v>15</v>
      </c>
      <c r="Q1" t="s">
        <v>16</v>
      </c>
      <c r="R1" t="s">
        <v>17</v>
      </c>
      <c r="S1" s="2" t="s">
        <v>18</v>
      </c>
      <c r="T1" t="s">
        <v>19</v>
      </c>
      <c r="U1" t="s">
        <v>20</v>
      </c>
      <c r="V1" s="2" t="s">
        <v>21</v>
      </c>
      <c r="W1" t="s">
        <v>22</v>
      </c>
      <c r="X1" t="s">
        <v>23</v>
      </c>
    </row>
    <row r="2" spans="1:24" x14ac:dyDescent="0.3">
      <c r="A2">
        <v>40098</v>
      </c>
      <c r="B2" t="s">
        <v>24</v>
      </c>
      <c r="C2" s="1">
        <v>41954</v>
      </c>
      <c r="D2" s="1">
        <v>41956</v>
      </c>
      <c r="E2" t="s">
        <v>25</v>
      </c>
      <c r="F2" t="s">
        <v>26</v>
      </c>
      <c r="G2" t="s">
        <v>27</v>
      </c>
      <c r="H2" t="s">
        <v>28</v>
      </c>
      <c r="I2">
        <v>73120</v>
      </c>
      <c r="J2" t="s">
        <v>29</v>
      </c>
      <c r="K2" t="s">
        <v>30</v>
      </c>
      <c r="L2" t="s">
        <v>31</v>
      </c>
      <c r="M2" t="s">
        <v>32</v>
      </c>
      <c r="N2" t="s">
        <v>33</v>
      </c>
      <c r="O2" t="s">
        <v>34</v>
      </c>
      <c r="P2" t="s">
        <v>35</v>
      </c>
      <c r="Q2" t="s">
        <v>36</v>
      </c>
      <c r="R2" t="s">
        <v>37</v>
      </c>
      <c r="S2" s="2">
        <v>221.98</v>
      </c>
      <c r="T2">
        <v>2</v>
      </c>
      <c r="U2">
        <v>0</v>
      </c>
      <c r="V2" s="2">
        <v>62.15</v>
      </c>
      <c r="W2">
        <v>40.770000000000003</v>
      </c>
      <c r="X2" t="s">
        <v>38</v>
      </c>
    </row>
    <row r="3" spans="1:24" x14ac:dyDescent="0.3">
      <c r="A3">
        <v>26341</v>
      </c>
      <c r="B3" t="s">
        <v>39</v>
      </c>
      <c r="C3" s="1">
        <v>41675</v>
      </c>
      <c r="D3" s="1">
        <v>41677</v>
      </c>
      <c r="E3" t="s">
        <v>40</v>
      </c>
      <c r="F3" t="s">
        <v>41</v>
      </c>
      <c r="G3" t="s">
        <v>42</v>
      </c>
      <c r="H3" t="s">
        <v>43</v>
      </c>
      <c r="J3" t="s">
        <v>44</v>
      </c>
      <c r="K3" t="s">
        <v>45</v>
      </c>
      <c r="L3" t="s">
        <v>46</v>
      </c>
      <c r="M3" t="s">
        <v>47</v>
      </c>
      <c r="N3" t="s">
        <v>48</v>
      </c>
      <c r="O3" t="s">
        <v>49</v>
      </c>
      <c r="P3" t="s">
        <v>50</v>
      </c>
      <c r="Q3" t="s">
        <v>51</v>
      </c>
      <c r="R3" t="s">
        <v>52</v>
      </c>
      <c r="S3" s="2">
        <v>3709.4</v>
      </c>
      <c r="T3">
        <v>9</v>
      </c>
      <c r="U3">
        <v>0.1</v>
      </c>
      <c r="V3" s="2">
        <v>-288.77</v>
      </c>
      <c r="W3">
        <v>923.63</v>
      </c>
      <c r="X3" t="s">
        <v>53</v>
      </c>
    </row>
    <row r="4" spans="1:24" x14ac:dyDescent="0.3">
      <c r="A4">
        <v>25330</v>
      </c>
      <c r="B4" t="s">
        <v>54</v>
      </c>
      <c r="C4" s="1">
        <v>41929</v>
      </c>
      <c r="D4" s="1">
        <v>41930</v>
      </c>
      <c r="E4" t="s">
        <v>25</v>
      </c>
      <c r="F4" t="s">
        <v>55</v>
      </c>
      <c r="G4" t="s">
        <v>56</v>
      </c>
      <c r="H4" t="s">
        <v>28</v>
      </c>
      <c r="J4" t="s">
        <v>57</v>
      </c>
      <c r="K4" t="s">
        <v>58</v>
      </c>
      <c r="L4" t="s">
        <v>46</v>
      </c>
      <c r="M4" t="s">
        <v>47</v>
      </c>
      <c r="N4" t="s">
        <v>48</v>
      </c>
      <c r="O4" t="s">
        <v>59</v>
      </c>
      <c r="P4" t="s">
        <v>35</v>
      </c>
      <c r="Q4" t="s">
        <v>36</v>
      </c>
      <c r="R4" t="s">
        <v>60</v>
      </c>
      <c r="S4" s="2">
        <v>5175.17</v>
      </c>
      <c r="T4">
        <v>9</v>
      </c>
      <c r="U4">
        <v>0.1</v>
      </c>
      <c r="V4" s="2">
        <v>919.97</v>
      </c>
      <c r="W4">
        <v>915.49</v>
      </c>
      <c r="X4" t="s">
        <v>61</v>
      </c>
    </row>
    <row r="5" spans="1:24" x14ac:dyDescent="0.3">
      <c r="A5">
        <v>13524</v>
      </c>
      <c r="B5" t="s">
        <v>62</v>
      </c>
      <c r="C5" s="1">
        <v>41667</v>
      </c>
      <c r="D5" s="1">
        <v>41669</v>
      </c>
      <c r="E5" t="s">
        <v>25</v>
      </c>
      <c r="F5" t="s">
        <v>63</v>
      </c>
      <c r="G5" t="s">
        <v>64</v>
      </c>
      <c r="H5" t="s">
        <v>65</v>
      </c>
      <c r="J5" t="s">
        <v>66</v>
      </c>
      <c r="K5" t="s">
        <v>66</v>
      </c>
      <c r="L5" t="s">
        <v>67</v>
      </c>
      <c r="M5" t="s">
        <v>68</v>
      </c>
      <c r="N5" t="s">
        <v>69</v>
      </c>
      <c r="O5" t="s">
        <v>70</v>
      </c>
      <c r="P5" t="s">
        <v>35</v>
      </c>
      <c r="Q5" t="s">
        <v>36</v>
      </c>
      <c r="R5" t="s">
        <v>71</v>
      </c>
      <c r="S5" s="2">
        <v>2892.51</v>
      </c>
      <c r="T5">
        <v>5</v>
      </c>
      <c r="U5">
        <v>0.1</v>
      </c>
      <c r="V5" s="2">
        <v>-96.54</v>
      </c>
      <c r="W5">
        <v>910.16</v>
      </c>
      <c r="X5" t="s">
        <v>61</v>
      </c>
    </row>
    <row r="6" spans="1:24" x14ac:dyDescent="0.3">
      <c r="A6">
        <v>47221</v>
      </c>
      <c r="B6" t="s">
        <v>72</v>
      </c>
      <c r="C6" s="1">
        <v>41948</v>
      </c>
      <c r="D6" s="1">
        <v>41949</v>
      </c>
      <c r="E6" t="s">
        <v>73</v>
      </c>
      <c r="F6" t="s">
        <v>74</v>
      </c>
      <c r="G6" t="s">
        <v>75</v>
      </c>
      <c r="H6" t="s">
        <v>28</v>
      </c>
      <c r="J6" t="s">
        <v>76</v>
      </c>
      <c r="K6" t="s">
        <v>76</v>
      </c>
      <c r="L6" t="s">
        <v>77</v>
      </c>
      <c r="M6" t="s">
        <v>78</v>
      </c>
      <c r="N6" t="s">
        <v>79</v>
      </c>
      <c r="O6" t="s">
        <v>80</v>
      </c>
      <c r="P6" t="s">
        <v>35</v>
      </c>
      <c r="Q6" t="s">
        <v>81</v>
      </c>
      <c r="R6" t="s">
        <v>82</v>
      </c>
      <c r="S6" s="2">
        <v>2832.96</v>
      </c>
      <c r="T6">
        <v>8</v>
      </c>
      <c r="U6">
        <v>0</v>
      </c>
      <c r="V6" s="2">
        <v>311.52</v>
      </c>
      <c r="W6">
        <v>903.04</v>
      </c>
      <c r="X6" t="s">
        <v>53</v>
      </c>
    </row>
    <row r="7" spans="1:24" x14ac:dyDescent="0.3">
      <c r="A7">
        <v>22732</v>
      </c>
      <c r="B7" t="s">
        <v>83</v>
      </c>
      <c r="C7" s="1">
        <v>41818</v>
      </c>
      <c r="D7" s="1">
        <v>41821</v>
      </c>
      <c r="E7" t="s">
        <v>40</v>
      </c>
      <c r="F7" t="s">
        <v>84</v>
      </c>
      <c r="G7" t="s">
        <v>85</v>
      </c>
      <c r="H7" t="s">
        <v>43</v>
      </c>
      <c r="J7" t="s">
        <v>86</v>
      </c>
      <c r="K7" t="s">
        <v>45</v>
      </c>
      <c r="L7" t="s">
        <v>46</v>
      </c>
      <c r="M7" t="s">
        <v>47</v>
      </c>
      <c r="N7" t="s">
        <v>48</v>
      </c>
      <c r="O7" t="s">
        <v>87</v>
      </c>
      <c r="P7" t="s">
        <v>35</v>
      </c>
      <c r="Q7" t="s">
        <v>36</v>
      </c>
      <c r="R7" t="s">
        <v>88</v>
      </c>
      <c r="S7" s="2">
        <v>2862.68</v>
      </c>
      <c r="T7">
        <v>5</v>
      </c>
      <c r="U7">
        <v>0.1</v>
      </c>
      <c r="V7" s="2">
        <v>763.28</v>
      </c>
      <c r="W7">
        <v>897.35</v>
      </c>
      <c r="X7" t="s">
        <v>53</v>
      </c>
    </row>
    <row r="8" spans="1:24" x14ac:dyDescent="0.3">
      <c r="A8">
        <v>30570</v>
      </c>
      <c r="B8" t="s">
        <v>89</v>
      </c>
      <c r="C8" s="1">
        <v>41219</v>
      </c>
      <c r="D8" s="1">
        <v>41221</v>
      </c>
      <c r="E8" t="s">
        <v>25</v>
      </c>
      <c r="F8" t="s">
        <v>90</v>
      </c>
      <c r="G8" t="s">
        <v>91</v>
      </c>
      <c r="H8" t="s">
        <v>28</v>
      </c>
      <c r="J8" t="s">
        <v>92</v>
      </c>
      <c r="K8" t="s">
        <v>93</v>
      </c>
      <c r="L8" t="s">
        <v>94</v>
      </c>
      <c r="M8" t="s">
        <v>47</v>
      </c>
      <c r="N8" t="s">
        <v>48</v>
      </c>
      <c r="O8" t="s">
        <v>95</v>
      </c>
      <c r="P8" t="s">
        <v>50</v>
      </c>
      <c r="Q8" t="s">
        <v>51</v>
      </c>
      <c r="R8" t="s">
        <v>96</v>
      </c>
      <c r="S8" s="2">
        <v>1822.08</v>
      </c>
      <c r="T8">
        <v>4</v>
      </c>
      <c r="U8">
        <v>0</v>
      </c>
      <c r="V8" s="2">
        <v>564.84</v>
      </c>
      <c r="W8">
        <v>894.77</v>
      </c>
      <c r="X8" t="s">
        <v>53</v>
      </c>
    </row>
    <row r="9" spans="1:24" x14ac:dyDescent="0.3">
      <c r="A9">
        <v>31192</v>
      </c>
      <c r="B9" t="s">
        <v>97</v>
      </c>
      <c r="C9" s="1">
        <v>41378</v>
      </c>
      <c r="D9" s="1">
        <v>41382</v>
      </c>
      <c r="E9" t="s">
        <v>98</v>
      </c>
      <c r="F9" t="s">
        <v>99</v>
      </c>
      <c r="G9" t="s">
        <v>100</v>
      </c>
      <c r="H9" t="s">
        <v>28</v>
      </c>
      <c r="J9" t="s">
        <v>101</v>
      </c>
      <c r="K9" t="s">
        <v>102</v>
      </c>
      <c r="L9" t="s">
        <v>94</v>
      </c>
      <c r="M9" t="s">
        <v>47</v>
      </c>
      <c r="N9" t="s">
        <v>48</v>
      </c>
      <c r="O9" t="s">
        <v>103</v>
      </c>
      <c r="P9" t="s">
        <v>50</v>
      </c>
      <c r="Q9" t="s">
        <v>104</v>
      </c>
      <c r="R9" t="s">
        <v>105</v>
      </c>
      <c r="S9" s="2">
        <v>5244.84</v>
      </c>
      <c r="T9">
        <v>6</v>
      </c>
      <c r="U9">
        <v>0</v>
      </c>
      <c r="V9" s="2">
        <v>996.48</v>
      </c>
      <c r="W9">
        <v>878.38</v>
      </c>
      <c r="X9" t="s">
        <v>38</v>
      </c>
    </row>
    <row r="10" spans="1:24" x14ac:dyDescent="0.3">
      <c r="A10">
        <v>40099</v>
      </c>
      <c r="B10" t="s">
        <v>24</v>
      </c>
      <c r="C10" s="1">
        <v>41954</v>
      </c>
      <c r="D10" s="1">
        <v>41956</v>
      </c>
      <c r="E10" t="s">
        <v>25</v>
      </c>
      <c r="F10" t="s">
        <v>26</v>
      </c>
      <c r="G10" t="s">
        <v>27</v>
      </c>
      <c r="H10" t="s">
        <v>28</v>
      </c>
      <c r="I10">
        <v>73120</v>
      </c>
      <c r="J10" t="s">
        <v>29</v>
      </c>
      <c r="K10" t="s">
        <v>30</v>
      </c>
      <c r="L10" t="s">
        <v>31</v>
      </c>
      <c r="M10" t="s">
        <v>32</v>
      </c>
      <c r="N10" t="s">
        <v>33</v>
      </c>
      <c r="O10" t="s">
        <v>106</v>
      </c>
      <c r="P10" t="s">
        <v>50</v>
      </c>
      <c r="Q10" t="s">
        <v>107</v>
      </c>
      <c r="R10" t="s">
        <v>108</v>
      </c>
      <c r="S10" s="2">
        <v>341.96</v>
      </c>
      <c r="T10">
        <v>2</v>
      </c>
      <c r="U10">
        <v>0</v>
      </c>
      <c r="V10" s="2">
        <v>54.71</v>
      </c>
      <c r="W10">
        <v>25.27</v>
      </c>
      <c r="X10" t="s">
        <v>38</v>
      </c>
    </row>
    <row r="11" spans="1:24" x14ac:dyDescent="0.3">
      <c r="A11">
        <v>36258</v>
      </c>
      <c r="B11" t="s">
        <v>109</v>
      </c>
      <c r="C11" s="1">
        <v>40974</v>
      </c>
      <c r="D11" s="1">
        <v>40975</v>
      </c>
      <c r="E11" t="s">
        <v>25</v>
      </c>
      <c r="F11" t="s">
        <v>110</v>
      </c>
      <c r="G11" t="s">
        <v>27</v>
      </c>
      <c r="H11" t="s">
        <v>28</v>
      </c>
      <c r="I11">
        <v>98103</v>
      </c>
      <c r="J11" t="s">
        <v>111</v>
      </c>
      <c r="K11" t="s">
        <v>112</v>
      </c>
      <c r="L11" t="s">
        <v>31</v>
      </c>
      <c r="M11" t="s">
        <v>113</v>
      </c>
      <c r="N11" t="s">
        <v>33</v>
      </c>
      <c r="O11" t="s">
        <v>114</v>
      </c>
      <c r="P11" t="s">
        <v>50</v>
      </c>
      <c r="Q11" t="s">
        <v>51</v>
      </c>
      <c r="R11" t="s">
        <v>115</v>
      </c>
      <c r="S11" s="2">
        <v>48.71</v>
      </c>
      <c r="T11">
        <v>1</v>
      </c>
      <c r="U11">
        <v>0.2</v>
      </c>
      <c r="V11" s="2">
        <v>5.48</v>
      </c>
      <c r="W11">
        <v>11.13</v>
      </c>
      <c r="X11" t="s">
        <v>38</v>
      </c>
    </row>
    <row r="12" spans="1:24" x14ac:dyDescent="0.3">
      <c r="A12">
        <v>36259</v>
      </c>
      <c r="B12" t="s">
        <v>109</v>
      </c>
      <c r="C12" s="1">
        <v>40974</v>
      </c>
      <c r="D12" s="1">
        <v>40975</v>
      </c>
      <c r="E12" t="s">
        <v>25</v>
      </c>
      <c r="F12" t="s">
        <v>110</v>
      </c>
      <c r="G12" t="s">
        <v>27</v>
      </c>
      <c r="H12" t="s">
        <v>28</v>
      </c>
      <c r="I12">
        <v>98103</v>
      </c>
      <c r="J12" t="s">
        <v>111</v>
      </c>
      <c r="K12" t="s">
        <v>112</v>
      </c>
      <c r="L12" t="s">
        <v>31</v>
      </c>
      <c r="M12" t="s">
        <v>113</v>
      </c>
      <c r="N12" t="s">
        <v>33</v>
      </c>
      <c r="O12" t="s">
        <v>116</v>
      </c>
      <c r="P12" t="s">
        <v>117</v>
      </c>
      <c r="Q12" t="s">
        <v>118</v>
      </c>
      <c r="R12" t="s">
        <v>119</v>
      </c>
      <c r="S12" s="2">
        <v>17.940000000000001</v>
      </c>
      <c r="T12">
        <v>3</v>
      </c>
      <c r="U12">
        <v>0</v>
      </c>
      <c r="V12" s="2">
        <v>4.66</v>
      </c>
      <c r="W12">
        <v>4.29</v>
      </c>
      <c r="X12" t="s">
        <v>38</v>
      </c>
    </row>
    <row r="13" spans="1:24" x14ac:dyDescent="0.3">
      <c r="A13">
        <v>28879</v>
      </c>
      <c r="B13" t="s">
        <v>120</v>
      </c>
      <c r="C13" s="1">
        <v>41383</v>
      </c>
      <c r="D13" s="1">
        <v>41386</v>
      </c>
      <c r="E13" t="s">
        <v>25</v>
      </c>
      <c r="F13" t="s">
        <v>121</v>
      </c>
      <c r="G13" t="s">
        <v>122</v>
      </c>
      <c r="H13" t="s">
        <v>43</v>
      </c>
      <c r="J13" t="s">
        <v>123</v>
      </c>
      <c r="K13" t="s">
        <v>123</v>
      </c>
      <c r="L13" t="s">
        <v>124</v>
      </c>
      <c r="M13" t="s">
        <v>125</v>
      </c>
      <c r="N13" t="s">
        <v>48</v>
      </c>
      <c r="O13" t="s">
        <v>126</v>
      </c>
      <c r="P13" t="s">
        <v>50</v>
      </c>
      <c r="Q13" t="s">
        <v>104</v>
      </c>
      <c r="R13" t="s">
        <v>127</v>
      </c>
      <c r="S13" s="2">
        <v>4626.1499999999996</v>
      </c>
      <c r="T13">
        <v>5</v>
      </c>
      <c r="U13">
        <v>0</v>
      </c>
      <c r="V13" s="2">
        <v>647.54999999999995</v>
      </c>
      <c r="W13">
        <v>835.57</v>
      </c>
      <c r="X13" t="s">
        <v>38</v>
      </c>
    </row>
    <row r="14" spans="1:24" x14ac:dyDescent="0.3">
      <c r="A14">
        <v>45794</v>
      </c>
      <c r="B14" t="s">
        <v>128</v>
      </c>
      <c r="C14" s="1">
        <v>41269</v>
      </c>
      <c r="D14" s="1">
        <v>41271</v>
      </c>
      <c r="E14" t="s">
        <v>40</v>
      </c>
      <c r="F14" t="s">
        <v>129</v>
      </c>
      <c r="G14" t="s">
        <v>130</v>
      </c>
      <c r="H14" t="s">
        <v>28</v>
      </c>
      <c r="J14" t="s">
        <v>131</v>
      </c>
      <c r="K14" t="s">
        <v>131</v>
      </c>
      <c r="L14" t="s">
        <v>132</v>
      </c>
      <c r="M14" t="s">
        <v>133</v>
      </c>
      <c r="N14" t="s">
        <v>48</v>
      </c>
      <c r="O14" t="s">
        <v>134</v>
      </c>
      <c r="P14" t="s">
        <v>35</v>
      </c>
      <c r="Q14" t="s">
        <v>36</v>
      </c>
      <c r="R14" t="s">
        <v>135</v>
      </c>
      <c r="S14" s="2">
        <v>2616.96</v>
      </c>
      <c r="T14">
        <v>4</v>
      </c>
      <c r="U14">
        <v>0</v>
      </c>
      <c r="V14" s="2">
        <v>1151.4000000000001</v>
      </c>
      <c r="W14">
        <v>832.41</v>
      </c>
      <c r="X14" t="s">
        <v>53</v>
      </c>
    </row>
    <row r="15" spans="1:24" x14ac:dyDescent="0.3">
      <c r="A15">
        <v>4132</v>
      </c>
      <c r="B15" t="s">
        <v>136</v>
      </c>
      <c r="C15" s="1">
        <v>41591</v>
      </c>
      <c r="D15" s="1">
        <v>41591</v>
      </c>
      <c r="E15" t="s">
        <v>73</v>
      </c>
      <c r="F15" t="s">
        <v>137</v>
      </c>
      <c r="G15" t="s">
        <v>138</v>
      </c>
      <c r="H15" t="s">
        <v>65</v>
      </c>
      <c r="J15" t="s">
        <v>139</v>
      </c>
      <c r="K15" t="s">
        <v>140</v>
      </c>
      <c r="L15" t="s">
        <v>141</v>
      </c>
      <c r="M15" t="s">
        <v>142</v>
      </c>
      <c r="N15" t="s">
        <v>143</v>
      </c>
      <c r="O15" t="s">
        <v>144</v>
      </c>
      <c r="P15" t="s">
        <v>50</v>
      </c>
      <c r="Q15" t="s">
        <v>51</v>
      </c>
      <c r="R15" t="s">
        <v>145</v>
      </c>
      <c r="S15" s="2">
        <v>2221.8000000000002</v>
      </c>
      <c r="T15">
        <v>7</v>
      </c>
      <c r="U15">
        <v>0</v>
      </c>
      <c r="V15" s="2">
        <v>622.02</v>
      </c>
      <c r="W15">
        <v>810.25</v>
      </c>
      <c r="X15" t="s">
        <v>53</v>
      </c>
    </row>
    <row r="16" spans="1:24" x14ac:dyDescent="0.3">
      <c r="A16">
        <v>27704</v>
      </c>
      <c r="B16" t="s">
        <v>146</v>
      </c>
      <c r="C16" s="1">
        <v>41796</v>
      </c>
      <c r="D16" s="1">
        <v>41798</v>
      </c>
      <c r="E16" t="s">
        <v>40</v>
      </c>
      <c r="F16" t="s">
        <v>147</v>
      </c>
      <c r="G16" t="s">
        <v>148</v>
      </c>
      <c r="H16" t="s">
        <v>28</v>
      </c>
      <c r="J16" t="s">
        <v>149</v>
      </c>
      <c r="K16" t="s">
        <v>150</v>
      </c>
      <c r="L16" t="s">
        <v>151</v>
      </c>
      <c r="M16" t="s">
        <v>152</v>
      </c>
      <c r="N16" t="s">
        <v>48</v>
      </c>
      <c r="O16" t="s">
        <v>153</v>
      </c>
      <c r="P16" t="s">
        <v>117</v>
      </c>
      <c r="Q16" t="s">
        <v>154</v>
      </c>
      <c r="R16" t="s">
        <v>155</v>
      </c>
      <c r="S16" s="2">
        <v>3701.52</v>
      </c>
      <c r="T16">
        <v>12</v>
      </c>
      <c r="U16">
        <v>0</v>
      </c>
      <c r="V16" s="2">
        <v>1036.08</v>
      </c>
      <c r="W16">
        <v>804.54</v>
      </c>
      <c r="X16" t="s">
        <v>53</v>
      </c>
    </row>
    <row r="17" spans="1:24" x14ac:dyDescent="0.3">
      <c r="A17">
        <v>13779</v>
      </c>
      <c r="B17" t="s">
        <v>156</v>
      </c>
      <c r="C17" s="1">
        <v>42216</v>
      </c>
      <c r="D17" s="1">
        <v>42219</v>
      </c>
      <c r="E17" t="s">
        <v>40</v>
      </c>
      <c r="F17" t="s">
        <v>157</v>
      </c>
      <c r="G17" t="s">
        <v>158</v>
      </c>
      <c r="H17" t="s">
        <v>43</v>
      </c>
      <c r="J17" t="s">
        <v>159</v>
      </c>
      <c r="K17" t="s">
        <v>160</v>
      </c>
      <c r="L17" t="s">
        <v>161</v>
      </c>
      <c r="M17" t="s">
        <v>68</v>
      </c>
      <c r="N17" t="s">
        <v>69</v>
      </c>
      <c r="O17" t="s">
        <v>162</v>
      </c>
      <c r="P17" t="s">
        <v>117</v>
      </c>
      <c r="Q17" t="s">
        <v>154</v>
      </c>
      <c r="R17" t="s">
        <v>163</v>
      </c>
      <c r="S17" s="2">
        <v>1869.59</v>
      </c>
      <c r="T17">
        <v>4</v>
      </c>
      <c r="U17">
        <v>0.1</v>
      </c>
      <c r="V17" s="2">
        <v>186.95</v>
      </c>
      <c r="W17">
        <v>801.66</v>
      </c>
      <c r="X17" t="s">
        <v>53</v>
      </c>
    </row>
    <row r="18" spans="1:24" x14ac:dyDescent="0.3">
      <c r="A18">
        <v>39519</v>
      </c>
      <c r="B18" t="s">
        <v>164</v>
      </c>
      <c r="C18" s="1">
        <v>40958</v>
      </c>
      <c r="D18" s="1">
        <v>40964</v>
      </c>
      <c r="E18" t="s">
        <v>98</v>
      </c>
      <c r="F18" t="s">
        <v>26</v>
      </c>
      <c r="G18" t="s">
        <v>27</v>
      </c>
      <c r="H18" t="s">
        <v>28</v>
      </c>
      <c r="I18">
        <v>76017</v>
      </c>
      <c r="J18" t="s">
        <v>165</v>
      </c>
      <c r="K18" t="s">
        <v>166</v>
      </c>
      <c r="L18" t="s">
        <v>31</v>
      </c>
      <c r="M18" t="s">
        <v>32</v>
      </c>
      <c r="N18" t="s">
        <v>33</v>
      </c>
      <c r="O18" t="s">
        <v>167</v>
      </c>
      <c r="P18" t="s">
        <v>117</v>
      </c>
      <c r="Q18" t="s">
        <v>168</v>
      </c>
      <c r="R18" t="s">
        <v>169</v>
      </c>
      <c r="S18" s="2">
        <v>12.62</v>
      </c>
      <c r="T18">
        <v>2</v>
      </c>
      <c r="U18">
        <v>0.2</v>
      </c>
      <c r="V18" s="2">
        <v>-2.52</v>
      </c>
      <c r="W18">
        <v>1.97</v>
      </c>
      <c r="X18" t="s">
        <v>170</v>
      </c>
    </row>
    <row r="19" spans="1:24" x14ac:dyDescent="0.3">
      <c r="A19">
        <v>12069</v>
      </c>
      <c r="B19" t="s">
        <v>171</v>
      </c>
      <c r="C19" s="1">
        <v>42255</v>
      </c>
      <c r="D19" s="1">
        <v>42261</v>
      </c>
      <c r="E19" t="s">
        <v>98</v>
      </c>
      <c r="F19" t="s">
        <v>172</v>
      </c>
      <c r="G19" t="s">
        <v>173</v>
      </c>
      <c r="H19" t="s">
        <v>43</v>
      </c>
      <c r="J19" t="s">
        <v>174</v>
      </c>
      <c r="K19" t="s">
        <v>175</v>
      </c>
      <c r="L19" t="s">
        <v>176</v>
      </c>
      <c r="M19" t="s">
        <v>177</v>
      </c>
      <c r="N19" t="s">
        <v>69</v>
      </c>
      <c r="O19" t="s">
        <v>178</v>
      </c>
      <c r="P19" t="s">
        <v>117</v>
      </c>
      <c r="Q19" t="s">
        <v>154</v>
      </c>
      <c r="R19" t="s">
        <v>179</v>
      </c>
      <c r="S19" s="2">
        <v>7958.58</v>
      </c>
      <c r="T19">
        <v>14</v>
      </c>
      <c r="U19">
        <v>0</v>
      </c>
      <c r="V19" s="2">
        <v>3979.08</v>
      </c>
      <c r="W19">
        <v>778.32</v>
      </c>
      <c r="X19" t="s">
        <v>170</v>
      </c>
    </row>
    <row r="20" spans="1:24" x14ac:dyDescent="0.3">
      <c r="A20">
        <v>22096</v>
      </c>
      <c r="B20" t="s">
        <v>180</v>
      </c>
      <c r="C20" s="1">
        <v>42035</v>
      </c>
      <c r="D20" s="1">
        <v>42036</v>
      </c>
      <c r="E20" t="s">
        <v>25</v>
      </c>
      <c r="F20" t="s">
        <v>181</v>
      </c>
      <c r="G20" t="s">
        <v>182</v>
      </c>
      <c r="H20" t="s">
        <v>43</v>
      </c>
      <c r="J20" t="s">
        <v>183</v>
      </c>
      <c r="K20" t="s">
        <v>58</v>
      </c>
      <c r="L20" t="s">
        <v>46</v>
      </c>
      <c r="M20" t="s">
        <v>47</v>
      </c>
      <c r="N20" t="s">
        <v>48</v>
      </c>
      <c r="O20" t="s">
        <v>184</v>
      </c>
      <c r="P20" t="s">
        <v>35</v>
      </c>
      <c r="Q20" t="s">
        <v>81</v>
      </c>
      <c r="R20" t="s">
        <v>185</v>
      </c>
      <c r="S20" s="2">
        <v>2565.59</v>
      </c>
      <c r="T20">
        <v>9</v>
      </c>
      <c r="U20">
        <v>0.1</v>
      </c>
      <c r="V20" s="2">
        <v>28.4</v>
      </c>
      <c r="W20">
        <v>766.93</v>
      </c>
      <c r="X20" t="s">
        <v>53</v>
      </c>
    </row>
    <row r="21" spans="1:24" x14ac:dyDescent="0.3">
      <c r="A21">
        <v>49463</v>
      </c>
      <c r="B21" t="s">
        <v>186</v>
      </c>
      <c r="C21" s="1">
        <v>42343</v>
      </c>
      <c r="D21" s="1">
        <v>42345</v>
      </c>
      <c r="E21" t="s">
        <v>40</v>
      </c>
      <c r="F21" t="s">
        <v>187</v>
      </c>
      <c r="G21" t="s">
        <v>188</v>
      </c>
      <c r="H21" t="s">
        <v>28</v>
      </c>
      <c r="J21" t="s">
        <v>189</v>
      </c>
      <c r="K21" t="s">
        <v>190</v>
      </c>
      <c r="L21" t="s">
        <v>191</v>
      </c>
      <c r="M21" t="s">
        <v>192</v>
      </c>
      <c r="N21" t="s">
        <v>79</v>
      </c>
      <c r="O21" t="s">
        <v>193</v>
      </c>
      <c r="P21" t="s">
        <v>117</v>
      </c>
      <c r="Q21" t="s">
        <v>154</v>
      </c>
      <c r="R21" t="s">
        <v>194</v>
      </c>
      <c r="S21" s="2">
        <v>3409.74</v>
      </c>
      <c r="T21">
        <v>6</v>
      </c>
      <c r="U21">
        <v>0</v>
      </c>
      <c r="V21" s="2">
        <v>818.28</v>
      </c>
      <c r="W21">
        <v>763.38</v>
      </c>
      <c r="X21" t="s">
        <v>38</v>
      </c>
    </row>
    <row r="22" spans="1:24" x14ac:dyDescent="0.3">
      <c r="A22">
        <v>46630</v>
      </c>
      <c r="B22" t="s">
        <v>195</v>
      </c>
      <c r="C22" s="1">
        <v>41494</v>
      </c>
      <c r="D22" s="1">
        <v>41496</v>
      </c>
      <c r="E22" t="s">
        <v>25</v>
      </c>
      <c r="F22" t="s">
        <v>196</v>
      </c>
      <c r="G22" t="s">
        <v>197</v>
      </c>
      <c r="H22" t="s">
        <v>43</v>
      </c>
      <c r="J22" t="s">
        <v>198</v>
      </c>
      <c r="K22" t="s">
        <v>199</v>
      </c>
      <c r="L22" t="s">
        <v>200</v>
      </c>
      <c r="M22" t="s">
        <v>201</v>
      </c>
      <c r="N22" t="s">
        <v>69</v>
      </c>
      <c r="O22" t="s">
        <v>202</v>
      </c>
      <c r="P22" t="s">
        <v>50</v>
      </c>
      <c r="Q22" t="s">
        <v>104</v>
      </c>
      <c r="R22" t="s">
        <v>203</v>
      </c>
      <c r="S22" s="2">
        <v>1977.72</v>
      </c>
      <c r="T22">
        <v>4</v>
      </c>
      <c r="U22">
        <v>0</v>
      </c>
      <c r="V22" s="2">
        <v>276.83999999999997</v>
      </c>
      <c r="W22">
        <v>759.47</v>
      </c>
      <c r="X22" t="s">
        <v>53</v>
      </c>
    </row>
    <row r="23" spans="1:24" x14ac:dyDescent="0.3">
      <c r="A23">
        <v>36260</v>
      </c>
      <c r="B23" t="s">
        <v>109</v>
      </c>
      <c r="C23" s="1">
        <v>40974</v>
      </c>
      <c r="D23" s="1">
        <v>40975</v>
      </c>
      <c r="E23" t="s">
        <v>25</v>
      </c>
      <c r="F23" t="s">
        <v>110</v>
      </c>
      <c r="G23" t="s">
        <v>27</v>
      </c>
      <c r="H23" t="s">
        <v>28</v>
      </c>
      <c r="I23">
        <v>98103</v>
      </c>
      <c r="J23" t="s">
        <v>111</v>
      </c>
      <c r="K23" t="s">
        <v>112</v>
      </c>
      <c r="L23" t="s">
        <v>31</v>
      </c>
      <c r="M23" t="s">
        <v>113</v>
      </c>
      <c r="N23" t="s">
        <v>33</v>
      </c>
      <c r="O23" t="s">
        <v>204</v>
      </c>
      <c r="P23" t="s">
        <v>117</v>
      </c>
      <c r="Q23" t="s">
        <v>168</v>
      </c>
      <c r="R23" t="s">
        <v>205</v>
      </c>
      <c r="S23" s="2">
        <v>242.94</v>
      </c>
      <c r="T23">
        <v>3</v>
      </c>
      <c r="U23">
        <v>0</v>
      </c>
      <c r="V23" s="2">
        <v>4.8600000000000003</v>
      </c>
      <c r="W23">
        <v>1.28</v>
      </c>
      <c r="X23" t="s">
        <v>38</v>
      </c>
    </row>
    <row r="24" spans="1:24" x14ac:dyDescent="0.3">
      <c r="A24">
        <v>21586</v>
      </c>
      <c r="B24" t="s">
        <v>206</v>
      </c>
      <c r="C24" s="1">
        <v>41030</v>
      </c>
      <c r="D24" s="1">
        <v>41031</v>
      </c>
      <c r="E24" t="s">
        <v>25</v>
      </c>
      <c r="F24" t="s">
        <v>207</v>
      </c>
      <c r="G24" t="s">
        <v>208</v>
      </c>
      <c r="H24" t="s">
        <v>43</v>
      </c>
      <c r="J24" t="s">
        <v>209</v>
      </c>
      <c r="K24" t="s">
        <v>210</v>
      </c>
      <c r="L24" t="s">
        <v>151</v>
      </c>
      <c r="M24" t="s">
        <v>152</v>
      </c>
      <c r="N24" t="s">
        <v>48</v>
      </c>
      <c r="O24" t="s">
        <v>211</v>
      </c>
      <c r="P24" t="s">
        <v>50</v>
      </c>
      <c r="Q24" t="s">
        <v>51</v>
      </c>
      <c r="R24" t="s">
        <v>212</v>
      </c>
      <c r="S24" s="2">
        <v>2754</v>
      </c>
      <c r="T24">
        <v>6</v>
      </c>
      <c r="U24">
        <v>0</v>
      </c>
      <c r="V24" s="2">
        <v>358.02</v>
      </c>
      <c r="W24">
        <v>752.47</v>
      </c>
      <c r="X24" t="s">
        <v>53</v>
      </c>
    </row>
    <row r="25" spans="1:24" x14ac:dyDescent="0.3">
      <c r="A25">
        <v>13528</v>
      </c>
      <c r="B25" t="s">
        <v>213</v>
      </c>
      <c r="C25" s="1">
        <v>41697</v>
      </c>
      <c r="D25" s="1">
        <v>41699</v>
      </c>
      <c r="E25" t="s">
        <v>40</v>
      </c>
      <c r="F25" t="s">
        <v>214</v>
      </c>
      <c r="G25" t="s">
        <v>215</v>
      </c>
      <c r="H25" t="s">
        <v>65</v>
      </c>
      <c r="J25" t="s">
        <v>216</v>
      </c>
      <c r="K25" t="s">
        <v>217</v>
      </c>
      <c r="L25" t="s">
        <v>218</v>
      </c>
      <c r="M25" t="s">
        <v>219</v>
      </c>
      <c r="N25" t="s">
        <v>69</v>
      </c>
      <c r="O25" t="s">
        <v>220</v>
      </c>
      <c r="P25" t="s">
        <v>117</v>
      </c>
      <c r="Q25" t="s">
        <v>154</v>
      </c>
      <c r="R25" t="s">
        <v>221</v>
      </c>
      <c r="S25" s="2">
        <v>5273.7</v>
      </c>
      <c r="T25">
        <v>10</v>
      </c>
      <c r="U25">
        <v>0</v>
      </c>
      <c r="V25" s="2">
        <v>1898.4</v>
      </c>
      <c r="W25">
        <v>730.91</v>
      </c>
      <c r="X25" t="s">
        <v>38</v>
      </c>
    </row>
    <row r="26" spans="1:24" x14ac:dyDescent="0.3">
      <c r="A26">
        <v>1570</v>
      </c>
      <c r="B26" t="s">
        <v>222</v>
      </c>
      <c r="C26" s="1">
        <v>42216</v>
      </c>
      <c r="D26" s="1">
        <v>42217</v>
      </c>
      <c r="E26" t="s">
        <v>25</v>
      </c>
      <c r="F26" t="s">
        <v>223</v>
      </c>
      <c r="G26" t="s">
        <v>224</v>
      </c>
      <c r="H26" t="s">
        <v>28</v>
      </c>
      <c r="J26" t="s">
        <v>225</v>
      </c>
      <c r="K26" t="s">
        <v>226</v>
      </c>
      <c r="L26" t="s">
        <v>227</v>
      </c>
      <c r="M26" t="s">
        <v>228</v>
      </c>
      <c r="N26" t="s">
        <v>143</v>
      </c>
      <c r="O26" t="s">
        <v>229</v>
      </c>
      <c r="P26" t="s">
        <v>35</v>
      </c>
      <c r="Q26" t="s">
        <v>36</v>
      </c>
      <c r="R26" t="s">
        <v>230</v>
      </c>
      <c r="S26" s="2">
        <v>1713.84</v>
      </c>
      <c r="T26">
        <v>4</v>
      </c>
      <c r="U26">
        <v>0</v>
      </c>
      <c r="V26" s="2">
        <v>445.52</v>
      </c>
      <c r="W26">
        <v>728.96799999999996</v>
      </c>
      <c r="X26" t="s">
        <v>53</v>
      </c>
    </row>
    <row r="27" spans="1:24" x14ac:dyDescent="0.3">
      <c r="A27">
        <v>3484</v>
      </c>
      <c r="B27" t="s">
        <v>231</v>
      </c>
      <c r="C27" s="1">
        <v>42252</v>
      </c>
      <c r="D27" s="1">
        <v>42255</v>
      </c>
      <c r="E27" t="s">
        <v>25</v>
      </c>
      <c r="F27" t="s">
        <v>232</v>
      </c>
      <c r="G27" t="s">
        <v>233</v>
      </c>
      <c r="H27" t="s">
        <v>28</v>
      </c>
      <c r="J27" t="s">
        <v>234</v>
      </c>
      <c r="K27" t="s">
        <v>235</v>
      </c>
      <c r="L27" t="s">
        <v>236</v>
      </c>
      <c r="M27" t="s">
        <v>228</v>
      </c>
      <c r="N27" t="s">
        <v>143</v>
      </c>
      <c r="O27" t="s">
        <v>237</v>
      </c>
      <c r="P27" t="s">
        <v>50</v>
      </c>
      <c r="Q27" t="s">
        <v>104</v>
      </c>
      <c r="R27" t="s">
        <v>238</v>
      </c>
      <c r="S27" s="2">
        <v>2106.5</v>
      </c>
      <c r="T27">
        <v>8</v>
      </c>
      <c r="U27">
        <v>0.2</v>
      </c>
      <c r="V27" s="2">
        <v>526.5</v>
      </c>
      <c r="W27">
        <v>728.38900000000001</v>
      </c>
      <c r="X27" t="s">
        <v>53</v>
      </c>
    </row>
    <row r="28" spans="1:24" x14ac:dyDescent="0.3">
      <c r="A28">
        <v>30191</v>
      </c>
      <c r="B28" t="s">
        <v>239</v>
      </c>
      <c r="C28" s="1">
        <v>41259</v>
      </c>
      <c r="D28" s="1">
        <v>41262</v>
      </c>
      <c r="E28" t="s">
        <v>25</v>
      </c>
      <c r="F28" t="s">
        <v>240</v>
      </c>
      <c r="G28" t="s">
        <v>241</v>
      </c>
      <c r="H28" t="s">
        <v>43</v>
      </c>
      <c r="J28" t="s">
        <v>242</v>
      </c>
      <c r="K28" t="s">
        <v>243</v>
      </c>
      <c r="L28" t="s">
        <v>244</v>
      </c>
      <c r="M28" t="s">
        <v>152</v>
      </c>
      <c r="N28" t="s">
        <v>48</v>
      </c>
      <c r="O28" t="s">
        <v>245</v>
      </c>
      <c r="P28" t="s">
        <v>50</v>
      </c>
      <c r="Q28" t="s">
        <v>104</v>
      </c>
      <c r="R28" t="s">
        <v>246</v>
      </c>
      <c r="S28" s="2">
        <v>1715.16</v>
      </c>
      <c r="T28">
        <v>2</v>
      </c>
      <c r="U28">
        <v>0</v>
      </c>
      <c r="V28" s="2">
        <v>720.36</v>
      </c>
      <c r="W28">
        <v>725.57</v>
      </c>
      <c r="X28" t="s">
        <v>53</v>
      </c>
    </row>
    <row r="29" spans="1:24" x14ac:dyDescent="0.3">
      <c r="A29">
        <v>11645</v>
      </c>
      <c r="B29" t="s">
        <v>247</v>
      </c>
      <c r="C29" s="1">
        <v>40981</v>
      </c>
      <c r="D29" s="1">
        <v>40984</v>
      </c>
      <c r="E29" t="s">
        <v>40</v>
      </c>
      <c r="F29" t="s">
        <v>248</v>
      </c>
      <c r="G29" t="s">
        <v>249</v>
      </c>
      <c r="H29" t="s">
        <v>28</v>
      </c>
      <c r="J29" t="s">
        <v>250</v>
      </c>
      <c r="K29" t="s">
        <v>251</v>
      </c>
      <c r="L29" t="s">
        <v>67</v>
      </c>
      <c r="M29" t="s">
        <v>68</v>
      </c>
      <c r="N29" t="s">
        <v>69</v>
      </c>
      <c r="O29" t="s">
        <v>178</v>
      </c>
      <c r="P29" t="s">
        <v>117</v>
      </c>
      <c r="Q29" t="s">
        <v>154</v>
      </c>
      <c r="R29" t="s">
        <v>179</v>
      </c>
      <c r="S29" s="2">
        <v>3069.74</v>
      </c>
      <c r="T29">
        <v>6</v>
      </c>
      <c r="U29">
        <v>0.1</v>
      </c>
      <c r="V29" s="2">
        <v>1364.24</v>
      </c>
      <c r="W29">
        <v>725.34</v>
      </c>
      <c r="X29" t="s">
        <v>53</v>
      </c>
    </row>
    <row r="30" spans="1:24" x14ac:dyDescent="0.3">
      <c r="A30">
        <v>38460</v>
      </c>
      <c r="B30" t="s">
        <v>252</v>
      </c>
      <c r="C30" s="1">
        <v>41020</v>
      </c>
      <c r="D30" s="1">
        <v>41022</v>
      </c>
      <c r="E30" t="s">
        <v>40</v>
      </c>
      <c r="F30" t="s">
        <v>253</v>
      </c>
      <c r="G30" t="s">
        <v>254</v>
      </c>
      <c r="H30" t="s">
        <v>43</v>
      </c>
      <c r="I30">
        <v>12180</v>
      </c>
      <c r="J30" t="s">
        <v>255</v>
      </c>
      <c r="K30" t="s">
        <v>256</v>
      </c>
      <c r="L30" t="s">
        <v>31</v>
      </c>
      <c r="M30" t="s">
        <v>257</v>
      </c>
      <c r="N30" t="s">
        <v>33</v>
      </c>
      <c r="O30" t="s">
        <v>258</v>
      </c>
      <c r="P30" t="s">
        <v>117</v>
      </c>
      <c r="Q30" t="s">
        <v>259</v>
      </c>
      <c r="R30" t="s">
        <v>260</v>
      </c>
      <c r="S30" s="2">
        <v>247.84</v>
      </c>
      <c r="T30">
        <v>8</v>
      </c>
      <c r="U30">
        <v>0</v>
      </c>
      <c r="V30" s="2">
        <v>121.44</v>
      </c>
      <c r="W30">
        <v>55.2</v>
      </c>
      <c r="X30" t="s">
        <v>53</v>
      </c>
    </row>
    <row r="31" spans="1:24" x14ac:dyDescent="0.3">
      <c r="A31">
        <v>22999</v>
      </c>
      <c r="B31" t="s">
        <v>261</v>
      </c>
      <c r="C31" s="1">
        <v>41329</v>
      </c>
      <c r="D31" s="1">
        <v>41329</v>
      </c>
      <c r="E31" t="s">
        <v>73</v>
      </c>
      <c r="F31" t="s">
        <v>262</v>
      </c>
      <c r="G31" t="s">
        <v>263</v>
      </c>
      <c r="H31" t="s">
        <v>28</v>
      </c>
      <c r="J31" t="s">
        <v>264</v>
      </c>
      <c r="K31" t="s">
        <v>265</v>
      </c>
      <c r="L31" t="s">
        <v>266</v>
      </c>
      <c r="M31" t="s">
        <v>125</v>
      </c>
      <c r="N31" t="s">
        <v>48</v>
      </c>
      <c r="O31" t="s">
        <v>267</v>
      </c>
      <c r="P31" t="s">
        <v>50</v>
      </c>
      <c r="Q31" t="s">
        <v>51</v>
      </c>
      <c r="R31" t="s">
        <v>268</v>
      </c>
      <c r="S31" s="2">
        <v>1878.72</v>
      </c>
      <c r="T31">
        <v>4</v>
      </c>
      <c r="U31">
        <v>0</v>
      </c>
      <c r="V31" s="2">
        <v>582.36</v>
      </c>
      <c r="W31">
        <v>704.08</v>
      </c>
      <c r="X31" t="s">
        <v>53</v>
      </c>
    </row>
    <row r="32" spans="1:24" x14ac:dyDescent="0.3">
      <c r="A32">
        <v>220</v>
      </c>
      <c r="B32" t="s">
        <v>269</v>
      </c>
      <c r="C32" s="1">
        <v>41270</v>
      </c>
      <c r="D32" s="1">
        <v>41272</v>
      </c>
      <c r="E32" t="s">
        <v>40</v>
      </c>
      <c r="F32" t="s">
        <v>270</v>
      </c>
      <c r="G32" t="s">
        <v>271</v>
      </c>
      <c r="H32" t="s">
        <v>43</v>
      </c>
      <c r="J32" t="s">
        <v>272</v>
      </c>
      <c r="K32" t="s">
        <v>272</v>
      </c>
      <c r="L32" t="s">
        <v>273</v>
      </c>
      <c r="M32" t="s">
        <v>274</v>
      </c>
      <c r="N32" t="s">
        <v>143</v>
      </c>
      <c r="O32" t="s">
        <v>275</v>
      </c>
      <c r="P32" t="s">
        <v>35</v>
      </c>
      <c r="Q32" t="s">
        <v>36</v>
      </c>
      <c r="R32" t="s">
        <v>276</v>
      </c>
      <c r="S32" s="2">
        <v>1696.64</v>
      </c>
      <c r="T32">
        <v>5</v>
      </c>
      <c r="U32">
        <v>0.2</v>
      </c>
      <c r="V32" s="2">
        <v>-148.46</v>
      </c>
      <c r="W32">
        <v>704.05600000000004</v>
      </c>
      <c r="X32" t="s">
        <v>53</v>
      </c>
    </row>
    <row r="33" spans="1:24" x14ac:dyDescent="0.3">
      <c r="A33">
        <v>10648</v>
      </c>
      <c r="B33" t="s">
        <v>277</v>
      </c>
      <c r="C33" s="1">
        <v>41472</v>
      </c>
      <c r="D33" s="1">
        <v>41474</v>
      </c>
      <c r="E33" t="s">
        <v>25</v>
      </c>
      <c r="F33" t="s">
        <v>278</v>
      </c>
      <c r="G33" t="s">
        <v>279</v>
      </c>
      <c r="H33" t="s">
        <v>43</v>
      </c>
      <c r="J33" t="s">
        <v>280</v>
      </c>
      <c r="K33" t="s">
        <v>281</v>
      </c>
      <c r="L33" t="s">
        <v>161</v>
      </c>
      <c r="M33" t="s">
        <v>68</v>
      </c>
      <c r="N33" t="s">
        <v>69</v>
      </c>
      <c r="O33" t="s">
        <v>282</v>
      </c>
      <c r="P33" t="s">
        <v>35</v>
      </c>
      <c r="Q33" t="s">
        <v>283</v>
      </c>
      <c r="R33" t="s">
        <v>284</v>
      </c>
      <c r="S33" s="2">
        <v>2402.87</v>
      </c>
      <c r="T33">
        <v>9</v>
      </c>
      <c r="U33">
        <v>0.15</v>
      </c>
      <c r="V33" s="2">
        <v>763.16</v>
      </c>
      <c r="W33">
        <v>699.55</v>
      </c>
      <c r="X33" t="s">
        <v>53</v>
      </c>
    </row>
    <row r="34" spans="1:24" x14ac:dyDescent="0.3">
      <c r="A34">
        <v>40977</v>
      </c>
      <c r="B34" t="s">
        <v>285</v>
      </c>
      <c r="C34" s="1">
        <v>41635</v>
      </c>
      <c r="D34" s="1">
        <v>41639</v>
      </c>
      <c r="E34" t="s">
        <v>98</v>
      </c>
      <c r="F34" t="s">
        <v>286</v>
      </c>
      <c r="G34" t="s">
        <v>254</v>
      </c>
      <c r="H34" t="s">
        <v>43</v>
      </c>
      <c r="I34">
        <v>94122</v>
      </c>
      <c r="J34" t="s">
        <v>287</v>
      </c>
      <c r="K34" t="s">
        <v>288</v>
      </c>
      <c r="L34" t="s">
        <v>31</v>
      </c>
      <c r="M34" t="s">
        <v>113</v>
      </c>
      <c r="N34" t="s">
        <v>33</v>
      </c>
      <c r="O34" t="s">
        <v>289</v>
      </c>
      <c r="P34" t="s">
        <v>35</v>
      </c>
      <c r="Q34" t="s">
        <v>36</v>
      </c>
      <c r="R34" t="s">
        <v>290</v>
      </c>
      <c r="S34" s="2">
        <v>668.16</v>
      </c>
      <c r="T34">
        <v>9</v>
      </c>
      <c r="U34">
        <v>0.2</v>
      </c>
      <c r="V34" s="2">
        <v>75.17</v>
      </c>
      <c r="W34">
        <v>45.74</v>
      </c>
      <c r="X34" t="s">
        <v>61</v>
      </c>
    </row>
    <row r="35" spans="1:24" x14ac:dyDescent="0.3">
      <c r="A35">
        <v>21286</v>
      </c>
      <c r="B35" t="s">
        <v>291</v>
      </c>
      <c r="C35" s="1">
        <v>41215</v>
      </c>
      <c r="D35" s="1">
        <v>41217</v>
      </c>
      <c r="E35" t="s">
        <v>40</v>
      </c>
      <c r="F35" t="s">
        <v>292</v>
      </c>
      <c r="G35" t="s">
        <v>293</v>
      </c>
      <c r="H35" t="s">
        <v>43</v>
      </c>
      <c r="J35" t="s">
        <v>294</v>
      </c>
      <c r="K35" t="s">
        <v>58</v>
      </c>
      <c r="L35" t="s">
        <v>46</v>
      </c>
      <c r="M35" t="s">
        <v>47</v>
      </c>
      <c r="N35" t="s">
        <v>48</v>
      </c>
      <c r="O35" t="s">
        <v>295</v>
      </c>
      <c r="P35" t="s">
        <v>117</v>
      </c>
      <c r="Q35" t="s">
        <v>154</v>
      </c>
      <c r="R35" t="s">
        <v>296</v>
      </c>
      <c r="S35" s="2">
        <v>2526.9299999999998</v>
      </c>
      <c r="T35">
        <v>5</v>
      </c>
      <c r="U35">
        <v>0.1</v>
      </c>
      <c r="V35" s="2">
        <v>561.48</v>
      </c>
      <c r="W35">
        <v>689.8</v>
      </c>
      <c r="X35" t="s">
        <v>53</v>
      </c>
    </row>
    <row r="36" spans="1:24" x14ac:dyDescent="0.3">
      <c r="A36">
        <v>40976</v>
      </c>
      <c r="B36" t="s">
        <v>285</v>
      </c>
      <c r="C36" s="1">
        <v>41635</v>
      </c>
      <c r="D36" s="1">
        <v>41639</v>
      </c>
      <c r="E36" t="s">
        <v>98</v>
      </c>
      <c r="F36" t="s">
        <v>286</v>
      </c>
      <c r="G36" t="s">
        <v>254</v>
      </c>
      <c r="H36" t="s">
        <v>43</v>
      </c>
      <c r="I36">
        <v>94122</v>
      </c>
      <c r="J36" t="s">
        <v>287</v>
      </c>
      <c r="K36" t="s">
        <v>288</v>
      </c>
      <c r="L36" t="s">
        <v>31</v>
      </c>
      <c r="M36" t="s">
        <v>113</v>
      </c>
      <c r="N36" t="s">
        <v>33</v>
      </c>
      <c r="O36" t="s">
        <v>297</v>
      </c>
      <c r="P36" t="s">
        <v>117</v>
      </c>
      <c r="Q36" t="s">
        <v>168</v>
      </c>
      <c r="R36" t="s">
        <v>298</v>
      </c>
      <c r="S36" s="2">
        <v>323.10000000000002</v>
      </c>
      <c r="T36">
        <v>2</v>
      </c>
      <c r="U36">
        <v>0</v>
      </c>
      <c r="V36" s="2">
        <v>61.39</v>
      </c>
      <c r="W36">
        <v>26.7</v>
      </c>
      <c r="X36" t="s">
        <v>61</v>
      </c>
    </row>
    <row r="37" spans="1:24" x14ac:dyDescent="0.3">
      <c r="A37">
        <v>47905</v>
      </c>
      <c r="B37" t="s">
        <v>299</v>
      </c>
      <c r="C37" s="1">
        <v>41165</v>
      </c>
      <c r="D37" s="1">
        <v>41166</v>
      </c>
      <c r="E37" t="s">
        <v>25</v>
      </c>
      <c r="F37" t="s">
        <v>300</v>
      </c>
      <c r="G37" t="s">
        <v>254</v>
      </c>
      <c r="H37" t="s">
        <v>43</v>
      </c>
      <c r="J37" t="s">
        <v>301</v>
      </c>
      <c r="K37" t="s">
        <v>302</v>
      </c>
      <c r="L37" t="s">
        <v>303</v>
      </c>
      <c r="M37" t="s">
        <v>304</v>
      </c>
      <c r="N37" t="s">
        <v>79</v>
      </c>
      <c r="O37" t="s">
        <v>305</v>
      </c>
      <c r="P37" t="s">
        <v>35</v>
      </c>
      <c r="Q37" t="s">
        <v>36</v>
      </c>
      <c r="R37" t="s">
        <v>306</v>
      </c>
      <c r="S37" s="2">
        <v>3817.26</v>
      </c>
      <c r="T37">
        <v>6</v>
      </c>
      <c r="U37">
        <v>0</v>
      </c>
      <c r="V37" s="2">
        <v>1068.6600000000001</v>
      </c>
      <c r="W37">
        <v>678.15</v>
      </c>
      <c r="X37" t="s">
        <v>38</v>
      </c>
    </row>
    <row r="38" spans="1:24" x14ac:dyDescent="0.3">
      <c r="A38">
        <v>36651</v>
      </c>
      <c r="B38" t="s">
        <v>307</v>
      </c>
      <c r="C38" s="1">
        <v>41041</v>
      </c>
      <c r="D38" s="1">
        <v>41047</v>
      </c>
      <c r="E38" t="s">
        <v>98</v>
      </c>
      <c r="F38" t="s">
        <v>286</v>
      </c>
      <c r="G38" t="s">
        <v>254</v>
      </c>
      <c r="H38" t="s">
        <v>43</v>
      </c>
      <c r="I38">
        <v>90004</v>
      </c>
      <c r="J38" t="s">
        <v>308</v>
      </c>
      <c r="K38" t="s">
        <v>288</v>
      </c>
      <c r="L38" t="s">
        <v>31</v>
      </c>
      <c r="M38" t="s">
        <v>113</v>
      </c>
      <c r="N38" t="s">
        <v>33</v>
      </c>
      <c r="O38" t="s">
        <v>309</v>
      </c>
      <c r="P38" t="s">
        <v>50</v>
      </c>
      <c r="Q38" t="s">
        <v>51</v>
      </c>
      <c r="R38" t="s">
        <v>310</v>
      </c>
      <c r="S38" s="2">
        <v>279.45999999999998</v>
      </c>
      <c r="T38">
        <v>6</v>
      </c>
      <c r="U38">
        <v>0.2</v>
      </c>
      <c r="V38" s="2">
        <v>20.96</v>
      </c>
      <c r="W38">
        <v>11.69</v>
      </c>
      <c r="X38" t="s">
        <v>61</v>
      </c>
    </row>
    <row r="39" spans="1:24" x14ac:dyDescent="0.3">
      <c r="A39">
        <v>40100</v>
      </c>
      <c r="B39" t="s">
        <v>311</v>
      </c>
      <c r="C39" s="1">
        <v>41273</v>
      </c>
      <c r="D39" s="1">
        <v>41274</v>
      </c>
      <c r="E39" t="s">
        <v>25</v>
      </c>
      <c r="F39" t="s">
        <v>253</v>
      </c>
      <c r="G39" t="s">
        <v>254</v>
      </c>
      <c r="H39" t="s">
        <v>43</v>
      </c>
      <c r="I39">
        <v>10035</v>
      </c>
      <c r="J39" t="s">
        <v>312</v>
      </c>
      <c r="K39" t="s">
        <v>256</v>
      </c>
      <c r="L39" t="s">
        <v>31</v>
      </c>
      <c r="M39" t="s">
        <v>257</v>
      </c>
      <c r="N39" t="s">
        <v>33</v>
      </c>
      <c r="O39" t="s">
        <v>313</v>
      </c>
      <c r="P39" t="s">
        <v>35</v>
      </c>
      <c r="Q39" t="s">
        <v>314</v>
      </c>
      <c r="R39" t="s">
        <v>315</v>
      </c>
      <c r="S39" s="2">
        <v>34.770000000000003</v>
      </c>
      <c r="T39">
        <v>3</v>
      </c>
      <c r="U39">
        <v>0</v>
      </c>
      <c r="V39" s="2">
        <v>11.47</v>
      </c>
      <c r="W39">
        <v>8.2200000000000006</v>
      </c>
      <c r="X39" t="s">
        <v>38</v>
      </c>
    </row>
    <row r="40" spans="1:24" x14ac:dyDescent="0.3">
      <c r="A40">
        <v>15380</v>
      </c>
      <c r="B40" t="s">
        <v>316</v>
      </c>
      <c r="C40" s="1">
        <v>42018</v>
      </c>
      <c r="D40" s="1">
        <v>42022</v>
      </c>
      <c r="E40" t="s">
        <v>98</v>
      </c>
      <c r="F40" t="s">
        <v>317</v>
      </c>
      <c r="G40" t="s">
        <v>318</v>
      </c>
      <c r="H40" t="s">
        <v>28</v>
      </c>
      <c r="J40" t="s">
        <v>319</v>
      </c>
      <c r="K40" t="s">
        <v>320</v>
      </c>
      <c r="L40" t="s">
        <v>218</v>
      </c>
      <c r="M40" t="s">
        <v>219</v>
      </c>
      <c r="N40" t="s">
        <v>69</v>
      </c>
      <c r="O40" t="s">
        <v>321</v>
      </c>
      <c r="P40" t="s">
        <v>35</v>
      </c>
      <c r="Q40" t="s">
        <v>81</v>
      </c>
      <c r="R40" t="s">
        <v>322</v>
      </c>
      <c r="S40" s="2">
        <v>4141.0200000000004</v>
      </c>
      <c r="T40">
        <v>13</v>
      </c>
      <c r="U40">
        <v>0</v>
      </c>
      <c r="V40" s="2">
        <v>1697.67</v>
      </c>
      <c r="W40">
        <v>668.96</v>
      </c>
      <c r="X40" t="s">
        <v>38</v>
      </c>
    </row>
    <row r="41" spans="1:24" x14ac:dyDescent="0.3">
      <c r="A41">
        <v>28046</v>
      </c>
      <c r="B41" t="s">
        <v>323</v>
      </c>
      <c r="C41" s="1">
        <v>40918</v>
      </c>
      <c r="D41" s="1">
        <v>40919</v>
      </c>
      <c r="E41" t="s">
        <v>25</v>
      </c>
      <c r="F41" t="s">
        <v>324</v>
      </c>
      <c r="G41" t="s">
        <v>325</v>
      </c>
      <c r="H41" t="s">
        <v>28</v>
      </c>
      <c r="J41" t="s">
        <v>57</v>
      </c>
      <c r="K41" t="s">
        <v>58</v>
      </c>
      <c r="L41" t="s">
        <v>46</v>
      </c>
      <c r="M41" t="s">
        <v>47</v>
      </c>
      <c r="N41" t="s">
        <v>48</v>
      </c>
      <c r="O41" t="s">
        <v>59</v>
      </c>
      <c r="P41" t="s">
        <v>35</v>
      </c>
      <c r="Q41" t="s">
        <v>36</v>
      </c>
      <c r="R41" t="s">
        <v>60</v>
      </c>
      <c r="S41" s="2">
        <v>2875.1</v>
      </c>
      <c r="T41">
        <v>5</v>
      </c>
      <c r="U41">
        <v>0.1</v>
      </c>
      <c r="V41" s="2">
        <v>511.1</v>
      </c>
      <c r="W41">
        <v>665.27</v>
      </c>
      <c r="X41" t="s">
        <v>61</v>
      </c>
    </row>
    <row r="42" spans="1:24" x14ac:dyDescent="0.3">
      <c r="A42">
        <v>21316</v>
      </c>
      <c r="B42" t="s">
        <v>326</v>
      </c>
      <c r="C42" s="1">
        <v>41873</v>
      </c>
      <c r="D42" s="1">
        <v>41877</v>
      </c>
      <c r="E42" t="s">
        <v>98</v>
      </c>
      <c r="F42" t="s">
        <v>327</v>
      </c>
      <c r="G42" t="s">
        <v>328</v>
      </c>
      <c r="H42" t="s">
        <v>28</v>
      </c>
      <c r="J42" t="s">
        <v>329</v>
      </c>
      <c r="K42" t="s">
        <v>330</v>
      </c>
      <c r="L42" t="s">
        <v>331</v>
      </c>
      <c r="M42" t="s">
        <v>332</v>
      </c>
      <c r="N42" t="s">
        <v>48</v>
      </c>
      <c r="O42" t="s">
        <v>229</v>
      </c>
      <c r="P42" t="s">
        <v>35</v>
      </c>
      <c r="Q42" t="s">
        <v>36</v>
      </c>
      <c r="R42" t="s">
        <v>230</v>
      </c>
      <c r="S42" s="2">
        <v>3200.6</v>
      </c>
      <c r="T42">
        <v>6</v>
      </c>
      <c r="U42">
        <v>0.17</v>
      </c>
      <c r="V42" s="2">
        <v>-77.2</v>
      </c>
      <c r="W42">
        <v>660.87</v>
      </c>
      <c r="X42" t="s">
        <v>38</v>
      </c>
    </row>
    <row r="43" spans="1:24" x14ac:dyDescent="0.3">
      <c r="A43">
        <v>29272</v>
      </c>
      <c r="B43" t="s">
        <v>333</v>
      </c>
      <c r="C43" s="1">
        <v>42319</v>
      </c>
      <c r="D43" s="1">
        <v>42323</v>
      </c>
      <c r="E43" t="s">
        <v>98</v>
      </c>
      <c r="F43" t="s">
        <v>334</v>
      </c>
      <c r="G43" t="s">
        <v>335</v>
      </c>
      <c r="H43" t="s">
        <v>65</v>
      </c>
      <c r="J43" t="s">
        <v>336</v>
      </c>
      <c r="K43" t="s">
        <v>337</v>
      </c>
      <c r="L43" t="s">
        <v>266</v>
      </c>
      <c r="M43" t="s">
        <v>125</v>
      </c>
      <c r="N43" t="s">
        <v>48</v>
      </c>
      <c r="O43" t="s">
        <v>338</v>
      </c>
      <c r="P43" t="s">
        <v>35</v>
      </c>
      <c r="Q43" t="s">
        <v>36</v>
      </c>
      <c r="R43" t="s">
        <v>339</v>
      </c>
      <c r="S43" s="2">
        <v>4518.78</v>
      </c>
      <c r="T43">
        <v>7</v>
      </c>
      <c r="U43">
        <v>0</v>
      </c>
      <c r="V43" s="2">
        <v>632.52</v>
      </c>
      <c r="W43">
        <v>658.69</v>
      </c>
      <c r="X43" t="s">
        <v>38</v>
      </c>
    </row>
    <row r="44" spans="1:24" x14ac:dyDescent="0.3">
      <c r="A44">
        <v>25795</v>
      </c>
      <c r="B44" t="s">
        <v>340</v>
      </c>
      <c r="C44" s="1">
        <v>42273</v>
      </c>
      <c r="D44" s="1">
        <v>42275</v>
      </c>
      <c r="E44" t="s">
        <v>40</v>
      </c>
      <c r="F44" t="s">
        <v>341</v>
      </c>
      <c r="G44" t="s">
        <v>342</v>
      </c>
      <c r="H44" t="s">
        <v>43</v>
      </c>
      <c r="J44" t="s">
        <v>343</v>
      </c>
      <c r="K44" t="s">
        <v>344</v>
      </c>
      <c r="L44" t="s">
        <v>266</v>
      </c>
      <c r="M44" t="s">
        <v>125</v>
      </c>
      <c r="N44" t="s">
        <v>48</v>
      </c>
      <c r="O44" t="s">
        <v>345</v>
      </c>
      <c r="P44" t="s">
        <v>50</v>
      </c>
      <c r="Q44" t="s">
        <v>107</v>
      </c>
      <c r="R44" t="s">
        <v>346</v>
      </c>
      <c r="S44" s="2">
        <v>5667.87</v>
      </c>
      <c r="T44">
        <v>13</v>
      </c>
      <c r="U44">
        <v>0</v>
      </c>
      <c r="V44" s="2">
        <v>2097.0300000000002</v>
      </c>
      <c r="W44">
        <v>658.35</v>
      </c>
      <c r="X44" t="s">
        <v>61</v>
      </c>
    </row>
    <row r="45" spans="1:24" x14ac:dyDescent="0.3">
      <c r="A45">
        <v>16681</v>
      </c>
      <c r="B45" t="s">
        <v>347</v>
      </c>
      <c r="C45" s="1">
        <v>41621</v>
      </c>
      <c r="D45" s="1">
        <v>41625</v>
      </c>
      <c r="E45" t="s">
        <v>98</v>
      </c>
      <c r="F45" t="s">
        <v>348</v>
      </c>
      <c r="G45" t="s">
        <v>349</v>
      </c>
      <c r="H45" t="s">
        <v>28</v>
      </c>
      <c r="J45" t="s">
        <v>350</v>
      </c>
      <c r="K45" t="s">
        <v>320</v>
      </c>
      <c r="L45" t="s">
        <v>218</v>
      </c>
      <c r="M45" t="s">
        <v>219</v>
      </c>
      <c r="N45" t="s">
        <v>69</v>
      </c>
      <c r="O45" t="s">
        <v>70</v>
      </c>
      <c r="P45" t="s">
        <v>35</v>
      </c>
      <c r="Q45" t="s">
        <v>36</v>
      </c>
      <c r="R45" t="s">
        <v>71</v>
      </c>
      <c r="S45" s="2">
        <v>5785.02</v>
      </c>
      <c r="T45">
        <v>9</v>
      </c>
      <c r="U45">
        <v>0</v>
      </c>
      <c r="V45" s="2">
        <v>404.73</v>
      </c>
      <c r="W45">
        <v>656.73</v>
      </c>
      <c r="X45" t="s">
        <v>38</v>
      </c>
    </row>
    <row r="46" spans="1:24" x14ac:dyDescent="0.3">
      <c r="A46">
        <v>15953</v>
      </c>
      <c r="B46" t="s">
        <v>351</v>
      </c>
      <c r="C46" s="1">
        <v>41174</v>
      </c>
      <c r="D46" s="1">
        <v>41176</v>
      </c>
      <c r="E46" t="s">
        <v>25</v>
      </c>
      <c r="F46" t="s">
        <v>352</v>
      </c>
      <c r="G46" t="s">
        <v>353</v>
      </c>
      <c r="H46" t="s">
        <v>28</v>
      </c>
      <c r="J46" t="s">
        <v>66</v>
      </c>
      <c r="K46" t="s">
        <v>66</v>
      </c>
      <c r="L46" t="s">
        <v>67</v>
      </c>
      <c r="M46" t="s">
        <v>68</v>
      </c>
      <c r="N46" t="s">
        <v>69</v>
      </c>
      <c r="O46" t="s">
        <v>354</v>
      </c>
      <c r="P46" t="s">
        <v>117</v>
      </c>
      <c r="Q46" t="s">
        <v>154</v>
      </c>
      <c r="R46" t="s">
        <v>355</v>
      </c>
      <c r="S46" s="2">
        <v>3018.62</v>
      </c>
      <c r="T46">
        <v>7</v>
      </c>
      <c r="U46">
        <v>0.2</v>
      </c>
      <c r="V46" s="2">
        <v>377.24</v>
      </c>
      <c r="W46">
        <v>655.91</v>
      </c>
      <c r="X46" t="s">
        <v>53</v>
      </c>
    </row>
    <row r="47" spans="1:24" x14ac:dyDescent="0.3">
      <c r="A47">
        <v>34608</v>
      </c>
      <c r="B47" t="s">
        <v>356</v>
      </c>
      <c r="C47" s="1">
        <v>41719</v>
      </c>
      <c r="D47" s="1">
        <v>41724</v>
      </c>
      <c r="E47" t="s">
        <v>40</v>
      </c>
      <c r="F47" t="s">
        <v>357</v>
      </c>
      <c r="G47" t="s">
        <v>254</v>
      </c>
      <c r="H47" t="s">
        <v>43</v>
      </c>
      <c r="I47">
        <v>39503</v>
      </c>
      <c r="J47" t="s">
        <v>358</v>
      </c>
      <c r="K47" t="s">
        <v>359</v>
      </c>
      <c r="L47" t="s">
        <v>31</v>
      </c>
      <c r="M47" t="s">
        <v>360</v>
      </c>
      <c r="N47" t="s">
        <v>33</v>
      </c>
      <c r="O47" t="s">
        <v>361</v>
      </c>
      <c r="P47" t="s">
        <v>50</v>
      </c>
      <c r="Q47" t="s">
        <v>362</v>
      </c>
      <c r="R47" t="s">
        <v>363</v>
      </c>
      <c r="S47" s="2">
        <v>86.45</v>
      </c>
      <c r="T47">
        <v>7</v>
      </c>
      <c r="U47">
        <v>0</v>
      </c>
      <c r="V47" s="2">
        <v>38.04</v>
      </c>
      <c r="W47">
        <v>5.73</v>
      </c>
      <c r="X47" t="s">
        <v>61</v>
      </c>
    </row>
    <row r="48" spans="1:24" x14ac:dyDescent="0.3">
      <c r="A48">
        <v>13847</v>
      </c>
      <c r="B48" t="s">
        <v>364</v>
      </c>
      <c r="C48" s="1">
        <v>41706</v>
      </c>
      <c r="D48" s="1">
        <v>41706</v>
      </c>
      <c r="E48" t="s">
        <v>73</v>
      </c>
      <c r="F48" t="s">
        <v>365</v>
      </c>
      <c r="G48" t="s">
        <v>366</v>
      </c>
      <c r="H48" t="s">
        <v>43</v>
      </c>
      <c r="J48" t="s">
        <v>367</v>
      </c>
      <c r="K48" t="s">
        <v>160</v>
      </c>
      <c r="L48" t="s">
        <v>161</v>
      </c>
      <c r="M48" t="s">
        <v>68</v>
      </c>
      <c r="N48" t="s">
        <v>69</v>
      </c>
      <c r="O48" t="s">
        <v>368</v>
      </c>
      <c r="P48" t="s">
        <v>50</v>
      </c>
      <c r="Q48" t="s">
        <v>51</v>
      </c>
      <c r="R48" t="s">
        <v>369</v>
      </c>
      <c r="S48" s="2">
        <v>2092.5</v>
      </c>
      <c r="T48">
        <v>5</v>
      </c>
      <c r="U48">
        <v>0.1</v>
      </c>
      <c r="V48" s="2">
        <v>720.75</v>
      </c>
      <c r="W48">
        <v>652.98</v>
      </c>
      <c r="X48" t="s">
        <v>53</v>
      </c>
    </row>
    <row r="49" spans="1:24" x14ac:dyDescent="0.3">
      <c r="A49">
        <v>24341</v>
      </c>
      <c r="B49" t="s">
        <v>370</v>
      </c>
      <c r="C49" s="1">
        <v>42244</v>
      </c>
      <c r="D49" s="1">
        <v>42245</v>
      </c>
      <c r="E49" t="s">
        <v>25</v>
      </c>
      <c r="F49" t="s">
        <v>371</v>
      </c>
      <c r="G49" t="s">
        <v>372</v>
      </c>
      <c r="H49" t="s">
        <v>28</v>
      </c>
      <c r="J49" t="s">
        <v>373</v>
      </c>
      <c r="K49" t="s">
        <v>374</v>
      </c>
      <c r="L49" t="s">
        <v>151</v>
      </c>
      <c r="M49" t="s">
        <v>152</v>
      </c>
      <c r="N49" t="s">
        <v>48</v>
      </c>
      <c r="O49" t="s">
        <v>375</v>
      </c>
      <c r="P49" t="s">
        <v>50</v>
      </c>
      <c r="Q49" t="s">
        <v>51</v>
      </c>
      <c r="R49" t="s">
        <v>376</v>
      </c>
      <c r="S49" s="2">
        <v>2761.2</v>
      </c>
      <c r="T49">
        <v>6</v>
      </c>
      <c r="U49">
        <v>0</v>
      </c>
      <c r="V49" s="2">
        <v>110.34</v>
      </c>
      <c r="W49">
        <v>644.75</v>
      </c>
      <c r="X49" t="s">
        <v>38</v>
      </c>
    </row>
    <row r="50" spans="1:24" x14ac:dyDescent="0.3">
      <c r="A50">
        <v>28701</v>
      </c>
      <c r="B50" t="s">
        <v>377</v>
      </c>
      <c r="C50" s="1">
        <v>42125</v>
      </c>
      <c r="D50" s="1">
        <v>42125</v>
      </c>
      <c r="E50" t="s">
        <v>73</v>
      </c>
      <c r="F50" t="s">
        <v>378</v>
      </c>
      <c r="G50" t="s">
        <v>379</v>
      </c>
      <c r="H50" t="s">
        <v>28</v>
      </c>
      <c r="J50" t="s">
        <v>380</v>
      </c>
      <c r="K50" t="s">
        <v>381</v>
      </c>
      <c r="L50" t="s">
        <v>266</v>
      </c>
      <c r="M50" t="s">
        <v>125</v>
      </c>
      <c r="N50" t="s">
        <v>48</v>
      </c>
      <c r="O50" t="s">
        <v>382</v>
      </c>
      <c r="P50" t="s">
        <v>35</v>
      </c>
      <c r="Q50" t="s">
        <v>283</v>
      </c>
      <c r="R50" t="s">
        <v>383</v>
      </c>
      <c r="S50" s="2">
        <v>2174.13</v>
      </c>
      <c r="T50">
        <v>7</v>
      </c>
      <c r="U50">
        <v>0</v>
      </c>
      <c r="V50" s="2">
        <v>500.01</v>
      </c>
      <c r="W50">
        <v>637.86</v>
      </c>
      <c r="X50" t="s">
        <v>53</v>
      </c>
    </row>
    <row r="51" spans="1:24" x14ac:dyDescent="0.3">
      <c r="A51">
        <v>6550</v>
      </c>
      <c r="B51" t="s">
        <v>384</v>
      </c>
      <c r="C51" s="1">
        <v>42356</v>
      </c>
      <c r="D51" s="1">
        <v>42358</v>
      </c>
      <c r="E51" t="s">
        <v>40</v>
      </c>
      <c r="F51" t="s">
        <v>385</v>
      </c>
      <c r="G51" t="s">
        <v>386</v>
      </c>
      <c r="H51" t="s">
        <v>28</v>
      </c>
      <c r="J51" t="s">
        <v>387</v>
      </c>
      <c r="K51" t="s">
        <v>387</v>
      </c>
      <c r="L51" t="s">
        <v>388</v>
      </c>
      <c r="M51" t="s">
        <v>142</v>
      </c>
      <c r="N51" t="s">
        <v>143</v>
      </c>
      <c r="O51" t="s">
        <v>389</v>
      </c>
      <c r="P51" t="s">
        <v>50</v>
      </c>
      <c r="Q51" t="s">
        <v>51</v>
      </c>
      <c r="R51" t="s">
        <v>390</v>
      </c>
      <c r="S51" s="2">
        <v>3473.14</v>
      </c>
      <c r="T51">
        <v>11</v>
      </c>
      <c r="U51">
        <v>0</v>
      </c>
      <c r="V51" s="2">
        <v>868.12</v>
      </c>
      <c r="W51">
        <v>634.529</v>
      </c>
      <c r="X51" t="s">
        <v>38</v>
      </c>
    </row>
    <row r="52" spans="1:24" x14ac:dyDescent="0.3">
      <c r="A52">
        <v>37425</v>
      </c>
      <c r="B52" t="s">
        <v>391</v>
      </c>
      <c r="C52" s="1">
        <v>41206</v>
      </c>
      <c r="D52" s="1">
        <v>41209</v>
      </c>
      <c r="E52" t="s">
        <v>25</v>
      </c>
      <c r="F52" t="s">
        <v>286</v>
      </c>
      <c r="G52" t="s">
        <v>254</v>
      </c>
      <c r="H52" t="s">
        <v>43</v>
      </c>
      <c r="I52">
        <v>94109</v>
      </c>
      <c r="J52" t="s">
        <v>287</v>
      </c>
      <c r="K52" t="s">
        <v>288</v>
      </c>
      <c r="L52" t="s">
        <v>31</v>
      </c>
      <c r="M52" t="s">
        <v>113</v>
      </c>
      <c r="N52" t="s">
        <v>33</v>
      </c>
      <c r="O52" t="s">
        <v>392</v>
      </c>
      <c r="P52" t="s">
        <v>117</v>
      </c>
      <c r="Q52" t="s">
        <v>393</v>
      </c>
      <c r="R52" t="s">
        <v>394</v>
      </c>
      <c r="S52" s="2">
        <v>49.41</v>
      </c>
      <c r="T52">
        <v>4</v>
      </c>
      <c r="U52">
        <v>0.2</v>
      </c>
      <c r="V52" s="2">
        <v>18.53</v>
      </c>
      <c r="W52">
        <v>2.84</v>
      </c>
      <c r="X52" t="s">
        <v>38</v>
      </c>
    </row>
    <row r="53" spans="1:24" x14ac:dyDescent="0.3">
      <c r="A53">
        <v>48360</v>
      </c>
      <c r="B53" t="s">
        <v>395</v>
      </c>
      <c r="C53" s="1">
        <v>42265</v>
      </c>
      <c r="D53" s="1">
        <v>42268</v>
      </c>
      <c r="E53" t="s">
        <v>25</v>
      </c>
      <c r="F53" t="s">
        <v>396</v>
      </c>
      <c r="G53" t="s">
        <v>397</v>
      </c>
      <c r="H53" t="s">
        <v>28</v>
      </c>
      <c r="J53" t="s">
        <v>398</v>
      </c>
      <c r="K53" t="s">
        <v>399</v>
      </c>
      <c r="L53" t="s">
        <v>400</v>
      </c>
      <c r="M53" t="s">
        <v>125</v>
      </c>
      <c r="N53" t="s">
        <v>48</v>
      </c>
      <c r="O53" t="s">
        <v>401</v>
      </c>
      <c r="P53" t="s">
        <v>35</v>
      </c>
      <c r="Q53" t="s">
        <v>81</v>
      </c>
      <c r="R53" t="s">
        <v>402</v>
      </c>
      <c r="S53" s="2">
        <v>2108.64</v>
      </c>
      <c r="T53">
        <v>8</v>
      </c>
      <c r="U53">
        <v>0</v>
      </c>
      <c r="V53" s="2">
        <v>527.04</v>
      </c>
      <c r="W53">
        <v>630.97</v>
      </c>
      <c r="X53" t="s">
        <v>53</v>
      </c>
    </row>
    <row r="54" spans="1:24" x14ac:dyDescent="0.3">
      <c r="A54">
        <v>40101</v>
      </c>
      <c r="B54" t="s">
        <v>311</v>
      </c>
      <c r="C54" s="1">
        <v>41273</v>
      </c>
      <c r="D54" s="1">
        <v>41274</v>
      </c>
      <c r="E54" t="s">
        <v>25</v>
      </c>
      <c r="F54" t="s">
        <v>253</v>
      </c>
      <c r="G54" t="s">
        <v>254</v>
      </c>
      <c r="H54" t="s">
        <v>43</v>
      </c>
      <c r="I54">
        <v>10035</v>
      </c>
      <c r="J54" t="s">
        <v>312</v>
      </c>
      <c r="K54" t="s">
        <v>256</v>
      </c>
      <c r="L54" t="s">
        <v>31</v>
      </c>
      <c r="M54" t="s">
        <v>257</v>
      </c>
      <c r="N54" t="s">
        <v>33</v>
      </c>
      <c r="O54" t="s">
        <v>403</v>
      </c>
      <c r="P54" t="s">
        <v>117</v>
      </c>
      <c r="Q54" t="s">
        <v>404</v>
      </c>
      <c r="R54" t="s">
        <v>405</v>
      </c>
      <c r="S54" s="2">
        <v>18.899999999999999</v>
      </c>
      <c r="T54">
        <v>3</v>
      </c>
      <c r="U54">
        <v>0</v>
      </c>
      <c r="V54" s="2">
        <v>8.69</v>
      </c>
      <c r="W54">
        <v>1.3</v>
      </c>
      <c r="X54" t="s">
        <v>38</v>
      </c>
    </row>
    <row r="55" spans="1:24" x14ac:dyDescent="0.3">
      <c r="A55">
        <v>30190</v>
      </c>
      <c r="B55" t="s">
        <v>239</v>
      </c>
      <c r="C55" s="1">
        <v>41259</v>
      </c>
      <c r="D55" s="1">
        <v>41262</v>
      </c>
      <c r="E55" t="s">
        <v>25</v>
      </c>
      <c r="F55" t="s">
        <v>240</v>
      </c>
      <c r="G55" t="s">
        <v>241</v>
      </c>
      <c r="H55" t="s">
        <v>43</v>
      </c>
      <c r="J55" t="s">
        <v>242</v>
      </c>
      <c r="K55" t="s">
        <v>243</v>
      </c>
      <c r="L55" t="s">
        <v>244</v>
      </c>
      <c r="M55" t="s">
        <v>152</v>
      </c>
      <c r="N55" t="s">
        <v>48</v>
      </c>
      <c r="O55" t="s">
        <v>406</v>
      </c>
      <c r="P55" t="s">
        <v>50</v>
      </c>
      <c r="Q55" t="s">
        <v>107</v>
      </c>
      <c r="R55" t="s">
        <v>407</v>
      </c>
      <c r="S55" s="2">
        <v>2197.5</v>
      </c>
      <c r="T55">
        <v>5</v>
      </c>
      <c r="U55">
        <v>0</v>
      </c>
      <c r="V55" s="2">
        <v>153.75</v>
      </c>
      <c r="W55">
        <v>627.27</v>
      </c>
      <c r="X55" t="s">
        <v>53</v>
      </c>
    </row>
    <row r="56" spans="1:24" x14ac:dyDescent="0.3">
      <c r="A56">
        <v>42336</v>
      </c>
      <c r="B56" t="s">
        <v>408</v>
      </c>
      <c r="C56" s="1">
        <v>41991</v>
      </c>
      <c r="D56" s="1">
        <v>41991</v>
      </c>
      <c r="E56" t="s">
        <v>73</v>
      </c>
      <c r="F56" t="s">
        <v>409</v>
      </c>
      <c r="G56" t="s">
        <v>410</v>
      </c>
      <c r="H56" t="s">
        <v>43</v>
      </c>
      <c r="J56" t="s">
        <v>411</v>
      </c>
      <c r="K56" t="s">
        <v>412</v>
      </c>
      <c r="L56" t="s">
        <v>413</v>
      </c>
      <c r="M56" t="s">
        <v>192</v>
      </c>
      <c r="N56" t="s">
        <v>79</v>
      </c>
      <c r="O56" t="s">
        <v>338</v>
      </c>
      <c r="P56" t="s">
        <v>35</v>
      </c>
      <c r="Q56" t="s">
        <v>36</v>
      </c>
      <c r="R56" t="s">
        <v>339</v>
      </c>
      <c r="S56" s="2">
        <v>2582.16</v>
      </c>
      <c r="T56">
        <v>4</v>
      </c>
      <c r="U56">
        <v>0</v>
      </c>
      <c r="V56" s="2">
        <v>593.88</v>
      </c>
      <c r="W56">
        <v>627.16999999999996</v>
      </c>
      <c r="X56" t="s">
        <v>38</v>
      </c>
    </row>
    <row r="57" spans="1:24" x14ac:dyDescent="0.3">
      <c r="A57">
        <v>29047</v>
      </c>
      <c r="B57" t="s">
        <v>414</v>
      </c>
      <c r="C57" s="1">
        <v>41424</v>
      </c>
      <c r="D57" s="1">
        <v>41425</v>
      </c>
      <c r="E57" t="s">
        <v>25</v>
      </c>
      <c r="F57" t="s">
        <v>415</v>
      </c>
      <c r="G57" t="s">
        <v>416</v>
      </c>
      <c r="H57" t="s">
        <v>28</v>
      </c>
      <c r="J57" t="s">
        <v>417</v>
      </c>
      <c r="K57" t="s">
        <v>418</v>
      </c>
      <c r="L57" t="s">
        <v>266</v>
      </c>
      <c r="M57" t="s">
        <v>125</v>
      </c>
      <c r="N57" t="s">
        <v>48</v>
      </c>
      <c r="O57" t="s">
        <v>419</v>
      </c>
      <c r="P57" t="s">
        <v>35</v>
      </c>
      <c r="Q57" t="s">
        <v>81</v>
      </c>
      <c r="R57" t="s">
        <v>420</v>
      </c>
      <c r="S57" s="2">
        <v>1526.52</v>
      </c>
      <c r="T57">
        <v>4</v>
      </c>
      <c r="U57">
        <v>0</v>
      </c>
      <c r="V57" s="2">
        <v>732.72</v>
      </c>
      <c r="W57">
        <v>625.77</v>
      </c>
      <c r="X57" t="s">
        <v>53</v>
      </c>
    </row>
    <row r="58" spans="1:24" x14ac:dyDescent="0.3">
      <c r="A58">
        <v>38461</v>
      </c>
      <c r="B58" t="s">
        <v>252</v>
      </c>
      <c r="C58" s="1">
        <v>41020</v>
      </c>
      <c r="D58" s="1">
        <v>41022</v>
      </c>
      <c r="E58" t="s">
        <v>40</v>
      </c>
      <c r="F58" t="s">
        <v>253</v>
      </c>
      <c r="G58" t="s">
        <v>254</v>
      </c>
      <c r="H58" t="s">
        <v>43</v>
      </c>
      <c r="I58">
        <v>12180</v>
      </c>
      <c r="J58" t="s">
        <v>255</v>
      </c>
      <c r="K58" t="s">
        <v>256</v>
      </c>
      <c r="L58" t="s">
        <v>31</v>
      </c>
      <c r="M58" t="s">
        <v>257</v>
      </c>
      <c r="N58" t="s">
        <v>33</v>
      </c>
      <c r="O58" t="s">
        <v>421</v>
      </c>
      <c r="P58" t="s">
        <v>117</v>
      </c>
      <c r="Q58" t="s">
        <v>393</v>
      </c>
      <c r="R58" t="s">
        <v>422</v>
      </c>
      <c r="S58" s="2">
        <v>9.91</v>
      </c>
      <c r="T58">
        <v>3</v>
      </c>
      <c r="U58">
        <v>0.2</v>
      </c>
      <c r="V58" s="2">
        <v>3.35</v>
      </c>
      <c r="W58">
        <v>1.2</v>
      </c>
      <c r="X58" t="s">
        <v>53</v>
      </c>
    </row>
    <row r="59" spans="1:24" x14ac:dyDescent="0.3">
      <c r="A59">
        <v>29601</v>
      </c>
      <c r="B59" t="s">
        <v>423</v>
      </c>
      <c r="C59" s="1">
        <v>41419</v>
      </c>
      <c r="D59" s="1">
        <v>41422</v>
      </c>
      <c r="E59" t="s">
        <v>40</v>
      </c>
      <c r="F59" t="s">
        <v>424</v>
      </c>
      <c r="G59" t="s">
        <v>425</v>
      </c>
      <c r="H59" t="s">
        <v>43</v>
      </c>
      <c r="J59" t="s">
        <v>426</v>
      </c>
      <c r="K59" t="s">
        <v>426</v>
      </c>
      <c r="L59" t="s">
        <v>266</v>
      </c>
      <c r="M59" t="s">
        <v>125</v>
      </c>
      <c r="N59" t="s">
        <v>48</v>
      </c>
      <c r="O59" t="s">
        <v>427</v>
      </c>
      <c r="P59" t="s">
        <v>50</v>
      </c>
      <c r="Q59" t="s">
        <v>104</v>
      </c>
      <c r="R59" t="s">
        <v>428</v>
      </c>
      <c r="S59" s="2">
        <v>1745.34</v>
      </c>
      <c r="T59">
        <v>2</v>
      </c>
      <c r="U59">
        <v>0</v>
      </c>
      <c r="V59" s="2">
        <v>226.86</v>
      </c>
      <c r="W59">
        <v>616.27</v>
      </c>
      <c r="X59" t="s">
        <v>53</v>
      </c>
    </row>
    <row r="60" spans="1:24" x14ac:dyDescent="0.3">
      <c r="A60">
        <v>23499</v>
      </c>
      <c r="B60" t="s">
        <v>429</v>
      </c>
      <c r="C60" s="1">
        <v>42221</v>
      </c>
      <c r="D60" s="1">
        <v>42222</v>
      </c>
      <c r="E60" t="s">
        <v>25</v>
      </c>
      <c r="F60" t="s">
        <v>430</v>
      </c>
      <c r="G60" t="s">
        <v>431</v>
      </c>
      <c r="H60" t="s">
        <v>28</v>
      </c>
      <c r="J60" t="s">
        <v>432</v>
      </c>
      <c r="K60" t="s">
        <v>433</v>
      </c>
      <c r="L60" t="s">
        <v>46</v>
      </c>
      <c r="M60" t="s">
        <v>47</v>
      </c>
      <c r="N60" t="s">
        <v>48</v>
      </c>
      <c r="O60" t="s">
        <v>434</v>
      </c>
      <c r="P60" t="s">
        <v>117</v>
      </c>
      <c r="Q60" t="s">
        <v>154</v>
      </c>
      <c r="R60" t="s">
        <v>435</v>
      </c>
      <c r="S60" s="2">
        <v>4191.51</v>
      </c>
      <c r="T60">
        <v>9</v>
      </c>
      <c r="U60">
        <v>0.1</v>
      </c>
      <c r="V60" s="2">
        <v>1164.27</v>
      </c>
      <c r="W60">
        <v>614.34</v>
      </c>
      <c r="X60" t="s">
        <v>38</v>
      </c>
    </row>
    <row r="61" spans="1:24" x14ac:dyDescent="0.3">
      <c r="A61">
        <v>36652</v>
      </c>
      <c r="B61" t="s">
        <v>307</v>
      </c>
      <c r="C61" s="1">
        <v>41041</v>
      </c>
      <c r="D61" s="1">
        <v>41047</v>
      </c>
      <c r="E61" t="s">
        <v>98</v>
      </c>
      <c r="F61" t="s">
        <v>286</v>
      </c>
      <c r="G61" t="s">
        <v>254</v>
      </c>
      <c r="H61" t="s">
        <v>43</v>
      </c>
      <c r="I61">
        <v>90004</v>
      </c>
      <c r="J61" t="s">
        <v>308</v>
      </c>
      <c r="K61" t="s">
        <v>288</v>
      </c>
      <c r="L61" t="s">
        <v>31</v>
      </c>
      <c r="M61" t="s">
        <v>113</v>
      </c>
      <c r="N61" t="s">
        <v>33</v>
      </c>
      <c r="O61" t="s">
        <v>436</v>
      </c>
      <c r="P61" t="s">
        <v>117</v>
      </c>
      <c r="Q61" t="s">
        <v>437</v>
      </c>
      <c r="R61" t="s">
        <v>438</v>
      </c>
      <c r="S61" s="2">
        <v>8</v>
      </c>
      <c r="T61">
        <v>2</v>
      </c>
      <c r="U61">
        <v>0</v>
      </c>
      <c r="V61" s="2">
        <v>3.84</v>
      </c>
      <c r="W61">
        <v>1.1499999999999999</v>
      </c>
      <c r="X61" t="s">
        <v>61</v>
      </c>
    </row>
    <row r="62" spans="1:24" x14ac:dyDescent="0.3">
      <c r="A62">
        <v>26634</v>
      </c>
      <c r="B62" t="s">
        <v>439</v>
      </c>
      <c r="C62" s="1">
        <v>42074</v>
      </c>
      <c r="D62" s="1">
        <v>42076</v>
      </c>
      <c r="E62" t="s">
        <v>40</v>
      </c>
      <c r="F62" t="s">
        <v>440</v>
      </c>
      <c r="G62" t="s">
        <v>441</v>
      </c>
      <c r="H62" t="s">
        <v>28</v>
      </c>
      <c r="J62" t="s">
        <v>442</v>
      </c>
      <c r="K62" t="s">
        <v>442</v>
      </c>
      <c r="L62" t="s">
        <v>443</v>
      </c>
      <c r="M62" t="s">
        <v>125</v>
      </c>
      <c r="N62" t="s">
        <v>48</v>
      </c>
      <c r="O62" t="s">
        <v>444</v>
      </c>
      <c r="P62" t="s">
        <v>50</v>
      </c>
      <c r="Q62" t="s">
        <v>107</v>
      </c>
      <c r="R62" t="s">
        <v>445</v>
      </c>
      <c r="S62" s="2">
        <v>3063.27</v>
      </c>
      <c r="T62">
        <v>7</v>
      </c>
      <c r="U62">
        <v>0</v>
      </c>
      <c r="V62" s="2">
        <v>581.91</v>
      </c>
      <c r="W62">
        <v>609.24</v>
      </c>
      <c r="X62" t="s">
        <v>38</v>
      </c>
    </row>
    <row r="63" spans="1:24" x14ac:dyDescent="0.3">
      <c r="A63">
        <v>34496</v>
      </c>
      <c r="B63" t="s">
        <v>446</v>
      </c>
      <c r="C63" s="1">
        <v>42357</v>
      </c>
      <c r="D63" s="1">
        <v>42361</v>
      </c>
      <c r="E63" t="s">
        <v>98</v>
      </c>
      <c r="F63" t="s">
        <v>253</v>
      </c>
      <c r="G63" t="s">
        <v>254</v>
      </c>
      <c r="H63" t="s">
        <v>43</v>
      </c>
      <c r="I63">
        <v>19134</v>
      </c>
      <c r="J63" t="s">
        <v>447</v>
      </c>
      <c r="K63" t="s">
        <v>448</v>
      </c>
      <c r="L63" t="s">
        <v>31</v>
      </c>
      <c r="M63" t="s">
        <v>257</v>
      </c>
      <c r="N63" t="s">
        <v>33</v>
      </c>
      <c r="O63" t="s">
        <v>449</v>
      </c>
      <c r="P63" t="s">
        <v>117</v>
      </c>
      <c r="Q63" t="s">
        <v>118</v>
      </c>
      <c r="R63" t="s">
        <v>450</v>
      </c>
      <c r="S63" s="2">
        <v>18.7</v>
      </c>
      <c r="T63">
        <v>7</v>
      </c>
      <c r="U63">
        <v>0.2</v>
      </c>
      <c r="V63" s="2">
        <v>2.34</v>
      </c>
      <c r="W63">
        <v>1.1299999999999999</v>
      </c>
      <c r="X63" t="s">
        <v>61</v>
      </c>
    </row>
    <row r="64" spans="1:24" x14ac:dyDescent="0.3">
      <c r="A64">
        <v>10522</v>
      </c>
      <c r="B64" t="s">
        <v>451</v>
      </c>
      <c r="C64" s="1">
        <v>42227</v>
      </c>
      <c r="D64" s="1">
        <v>42232</v>
      </c>
      <c r="E64" t="s">
        <v>40</v>
      </c>
      <c r="F64" t="s">
        <v>452</v>
      </c>
      <c r="G64" t="s">
        <v>453</v>
      </c>
      <c r="H64" t="s">
        <v>43</v>
      </c>
      <c r="J64" t="s">
        <v>454</v>
      </c>
      <c r="K64" t="s">
        <v>455</v>
      </c>
      <c r="L64" t="s">
        <v>67</v>
      </c>
      <c r="M64" t="s">
        <v>68</v>
      </c>
      <c r="N64" t="s">
        <v>69</v>
      </c>
      <c r="O64" t="s">
        <v>456</v>
      </c>
      <c r="P64" t="s">
        <v>35</v>
      </c>
      <c r="Q64" t="s">
        <v>36</v>
      </c>
      <c r="R64" t="s">
        <v>457</v>
      </c>
      <c r="S64" s="2">
        <v>4473</v>
      </c>
      <c r="T64">
        <v>7</v>
      </c>
      <c r="U64">
        <v>0</v>
      </c>
      <c r="V64" s="2">
        <v>313.11</v>
      </c>
      <c r="W64">
        <v>604.4</v>
      </c>
      <c r="X64" t="s">
        <v>61</v>
      </c>
    </row>
    <row r="65" spans="1:24" x14ac:dyDescent="0.3">
      <c r="A65">
        <v>10549</v>
      </c>
      <c r="B65" t="s">
        <v>458</v>
      </c>
      <c r="C65" s="1">
        <v>41882</v>
      </c>
      <c r="D65" s="1">
        <v>41885</v>
      </c>
      <c r="E65" t="s">
        <v>25</v>
      </c>
      <c r="F65" t="s">
        <v>459</v>
      </c>
      <c r="G65" t="s">
        <v>460</v>
      </c>
      <c r="H65" t="s">
        <v>43</v>
      </c>
      <c r="J65" t="s">
        <v>461</v>
      </c>
      <c r="K65" t="s">
        <v>455</v>
      </c>
      <c r="L65" t="s">
        <v>67</v>
      </c>
      <c r="M65" t="s">
        <v>68</v>
      </c>
      <c r="N65" t="s">
        <v>69</v>
      </c>
      <c r="O65" t="s">
        <v>462</v>
      </c>
      <c r="P65" t="s">
        <v>35</v>
      </c>
      <c r="Q65" t="s">
        <v>36</v>
      </c>
      <c r="R65" t="s">
        <v>463</v>
      </c>
      <c r="S65" s="2">
        <v>1502.01</v>
      </c>
      <c r="T65">
        <v>9</v>
      </c>
      <c r="U65">
        <v>0</v>
      </c>
      <c r="V65" s="2">
        <v>225.18</v>
      </c>
      <c r="W65">
        <v>600.21</v>
      </c>
      <c r="X65" t="s">
        <v>53</v>
      </c>
    </row>
    <row r="66" spans="1:24" x14ac:dyDescent="0.3">
      <c r="A66">
        <v>25314</v>
      </c>
      <c r="B66" t="s">
        <v>464</v>
      </c>
      <c r="C66" s="1">
        <v>42022</v>
      </c>
      <c r="D66" s="1">
        <v>42027</v>
      </c>
      <c r="E66" t="s">
        <v>98</v>
      </c>
      <c r="F66" t="s">
        <v>465</v>
      </c>
      <c r="G66" t="s">
        <v>466</v>
      </c>
      <c r="H66" t="s">
        <v>28</v>
      </c>
      <c r="J66" t="s">
        <v>467</v>
      </c>
      <c r="K66" t="s">
        <v>468</v>
      </c>
      <c r="L66" t="s">
        <v>151</v>
      </c>
      <c r="M66" t="s">
        <v>152</v>
      </c>
      <c r="N66" t="s">
        <v>48</v>
      </c>
      <c r="O66" t="s">
        <v>211</v>
      </c>
      <c r="P66" t="s">
        <v>50</v>
      </c>
      <c r="Q66" t="s">
        <v>51</v>
      </c>
      <c r="R66" t="s">
        <v>212</v>
      </c>
      <c r="S66" s="2">
        <v>5049</v>
      </c>
      <c r="T66">
        <v>11</v>
      </c>
      <c r="U66">
        <v>0</v>
      </c>
      <c r="V66" s="2">
        <v>656.37</v>
      </c>
      <c r="W66">
        <v>595.5</v>
      </c>
      <c r="X66" t="s">
        <v>38</v>
      </c>
    </row>
    <row r="67" spans="1:24" x14ac:dyDescent="0.3">
      <c r="A67">
        <v>32637</v>
      </c>
      <c r="B67" t="s">
        <v>469</v>
      </c>
      <c r="C67" s="1">
        <v>42007</v>
      </c>
      <c r="D67" s="1">
        <v>42009</v>
      </c>
      <c r="E67" t="s">
        <v>25</v>
      </c>
      <c r="F67" t="s">
        <v>470</v>
      </c>
      <c r="G67" t="s">
        <v>471</v>
      </c>
      <c r="H67" t="s">
        <v>43</v>
      </c>
      <c r="I67">
        <v>28540</v>
      </c>
      <c r="J67" t="s">
        <v>472</v>
      </c>
      <c r="K67" t="s">
        <v>473</v>
      </c>
      <c r="L67" t="s">
        <v>31</v>
      </c>
      <c r="M67" t="s">
        <v>360</v>
      </c>
      <c r="N67" t="s">
        <v>33</v>
      </c>
      <c r="O67" t="s">
        <v>474</v>
      </c>
      <c r="P67" t="s">
        <v>35</v>
      </c>
      <c r="Q67" t="s">
        <v>283</v>
      </c>
      <c r="R67" t="s">
        <v>475</v>
      </c>
      <c r="S67" s="2">
        <v>695.7</v>
      </c>
      <c r="T67">
        <v>2</v>
      </c>
      <c r="U67">
        <v>0.5</v>
      </c>
      <c r="V67" s="2">
        <v>-27.83</v>
      </c>
      <c r="W67">
        <v>160.19</v>
      </c>
      <c r="X67" t="s">
        <v>38</v>
      </c>
    </row>
    <row r="68" spans="1:24" x14ac:dyDescent="0.3">
      <c r="A68">
        <v>16653</v>
      </c>
      <c r="B68" t="s">
        <v>476</v>
      </c>
      <c r="C68" s="1">
        <v>42345</v>
      </c>
      <c r="D68" s="1">
        <v>42346</v>
      </c>
      <c r="E68" t="s">
        <v>25</v>
      </c>
      <c r="F68" t="s">
        <v>477</v>
      </c>
      <c r="G68" t="s">
        <v>478</v>
      </c>
      <c r="H68" t="s">
        <v>28</v>
      </c>
      <c r="J68" t="s">
        <v>479</v>
      </c>
      <c r="K68" t="s">
        <v>480</v>
      </c>
      <c r="L68" t="s">
        <v>481</v>
      </c>
      <c r="M68" t="s">
        <v>177</v>
      </c>
      <c r="N68" t="s">
        <v>69</v>
      </c>
      <c r="O68" t="s">
        <v>444</v>
      </c>
      <c r="P68" t="s">
        <v>50</v>
      </c>
      <c r="Q68" t="s">
        <v>107</v>
      </c>
      <c r="R68" t="s">
        <v>445</v>
      </c>
      <c r="S68" s="2">
        <v>2188.0500000000002</v>
      </c>
      <c r="T68">
        <v>5</v>
      </c>
      <c r="U68">
        <v>0</v>
      </c>
      <c r="V68" s="2">
        <v>1050.1500000000001</v>
      </c>
      <c r="W68">
        <v>593.91</v>
      </c>
      <c r="X68" t="s">
        <v>38</v>
      </c>
    </row>
    <row r="69" spans="1:24" x14ac:dyDescent="0.3">
      <c r="A69">
        <v>28932</v>
      </c>
      <c r="B69" t="s">
        <v>482</v>
      </c>
      <c r="C69" s="1">
        <v>42354</v>
      </c>
      <c r="D69" s="1">
        <v>42357</v>
      </c>
      <c r="E69" t="s">
        <v>25</v>
      </c>
      <c r="F69" t="s">
        <v>483</v>
      </c>
      <c r="G69" t="s">
        <v>484</v>
      </c>
      <c r="H69" t="s">
        <v>43</v>
      </c>
      <c r="J69" t="s">
        <v>485</v>
      </c>
      <c r="K69" t="s">
        <v>486</v>
      </c>
      <c r="L69" t="s">
        <v>266</v>
      </c>
      <c r="M69" t="s">
        <v>125</v>
      </c>
      <c r="N69" t="s">
        <v>48</v>
      </c>
      <c r="O69" t="s">
        <v>487</v>
      </c>
      <c r="P69" t="s">
        <v>50</v>
      </c>
      <c r="Q69" t="s">
        <v>104</v>
      </c>
      <c r="R69" t="s">
        <v>488</v>
      </c>
      <c r="S69" s="2">
        <v>1920.36</v>
      </c>
      <c r="T69">
        <v>4</v>
      </c>
      <c r="U69">
        <v>0</v>
      </c>
      <c r="V69" s="2">
        <v>652.91999999999996</v>
      </c>
      <c r="W69">
        <v>592.77</v>
      </c>
      <c r="X69" t="s">
        <v>53</v>
      </c>
    </row>
    <row r="70" spans="1:24" x14ac:dyDescent="0.3">
      <c r="A70">
        <v>8029</v>
      </c>
      <c r="B70" t="s">
        <v>489</v>
      </c>
      <c r="C70" s="1">
        <v>42328</v>
      </c>
      <c r="D70" s="1">
        <v>42328</v>
      </c>
      <c r="E70" t="s">
        <v>73</v>
      </c>
      <c r="F70" t="s">
        <v>490</v>
      </c>
      <c r="G70" t="s">
        <v>491</v>
      </c>
      <c r="H70" t="s">
        <v>65</v>
      </c>
      <c r="J70" t="s">
        <v>492</v>
      </c>
      <c r="K70" t="s">
        <v>493</v>
      </c>
      <c r="L70" t="s">
        <v>227</v>
      </c>
      <c r="M70" t="s">
        <v>228</v>
      </c>
      <c r="N70" t="s">
        <v>143</v>
      </c>
      <c r="O70" t="s">
        <v>456</v>
      </c>
      <c r="P70" t="s">
        <v>35</v>
      </c>
      <c r="Q70" t="s">
        <v>36</v>
      </c>
      <c r="R70" t="s">
        <v>457</v>
      </c>
      <c r="S70" s="2">
        <v>1704</v>
      </c>
      <c r="T70">
        <v>4</v>
      </c>
      <c r="U70">
        <v>0</v>
      </c>
      <c r="V70" s="2">
        <v>119.28</v>
      </c>
      <c r="W70">
        <v>592.726</v>
      </c>
      <c r="X70" t="s">
        <v>53</v>
      </c>
    </row>
    <row r="71" spans="1:24" x14ac:dyDescent="0.3">
      <c r="A71">
        <v>50411</v>
      </c>
      <c r="B71" t="s">
        <v>494</v>
      </c>
      <c r="C71" s="1">
        <v>41221</v>
      </c>
      <c r="D71" s="1">
        <v>41223</v>
      </c>
      <c r="E71" t="s">
        <v>25</v>
      </c>
      <c r="F71" t="s">
        <v>495</v>
      </c>
      <c r="G71" t="s">
        <v>496</v>
      </c>
      <c r="H71" t="s">
        <v>65</v>
      </c>
      <c r="J71" t="s">
        <v>497</v>
      </c>
      <c r="K71" t="s">
        <v>497</v>
      </c>
      <c r="L71" t="s">
        <v>498</v>
      </c>
      <c r="M71" t="s">
        <v>201</v>
      </c>
      <c r="N71" t="s">
        <v>69</v>
      </c>
      <c r="O71" t="s">
        <v>499</v>
      </c>
      <c r="P71" t="s">
        <v>50</v>
      </c>
      <c r="Q71" t="s">
        <v>104</v>
      </c>
      <c r="R71" t="s">
        <v>500</v>
      </c>
      <c r="S71" s="2">
        <v>1858.68</v>
      </c>
      <c r="T71">
        <v>4</v>
      </c>
      <c r="U71">
        <v>0</v>
      </c>
      <c r="V71" s="2">
        <v>130.08000000000001</v>
      </c>
      <c r="W71">
        <v>590.55999999999995</v>
      </c>
      <c r="X71" t="s">
        <v>53</v>
      </c>
    </row>
    <row r="72" spans="1:24" x14ac:dyDescent="0.3">
      <c r="A72">
        <v>21191</v>
      </c>
      <c r="B72" t="s">
        <v>501</v>
      </c>
      <c r="C72" s="1">
        <v>41797</v>
      </c>
      <c r="D72" s="1">
        <v>41799</v>
      </c>
      <c r="E72" t="s">
        <v>25</v>
      </c>
      <c r="F72" t="s">
        <v>502</v>
      </c>
      <c r="G72" t="s">
        <v>503</v>
      </c>
      <c r="H72" t="s">
        <v>43</v>
      </c>
      <c r="J72" t="s">
        <v>504</v>
      </c>
      <c r="K72" t="s">
        <v>374</v>
      </c>
      <c r="L72" t="s">
        <v>151</v>
      </c>
      <c r="M72" t="s">
        <v>152</v>
      </c>
      <c r="N72" t="s">
        <v>48</v>
      </c>
      <c r="O72" t="s">
        <v>144</v>
      </c>
      <c r="P72" t="s">
        <v>50</v>
      </c>
      <c r="Q72" t="s">
        <v>51</v>
      </c>
      <c r="R72" t="s">
        <v>145</v>
      </c>
      <c r="S72" s="2">
        <v>3298.26</v>
      </c>
      <c r="T72">
        <v>7</v>
      </c>
      <c r="U72">
        <v>0</v>
      </c>
      <c r="V72" s="2">
        <v>1055.25</v>
      </c>
      <c r="W72">
        <v>589.36</v>
      </c>
      <c r="X72" t="s">
        <v>38</v>
      </c>
    </row>
    <row r="73" spans="1:24" x14ac:dyDescent="0.3">
      <c r="A73">
        <v>4960</v>
      </c>
      <c r="B73" t="s">
        <v>505</v>
      </c>
      <c r="C73" s="1">
        <v>41234</v>
      </c>
      <c r="D73" s="1">
        <v>41235</v>
      </c>
      <c r="E73" t="s">
        <v>25</v>
      </c>
      <c r="F73" t="s">
        <v>506</v>
      </c>
      <c r="G73" t="s">
        <v>507</v>
      </c>
      <c r="H73" t="s">
        <v>28</v>
      </c>
      <c r="J73" t="s">
        <v>508</v>
      </c>
      <c r="K73" t="s">
        <v>508</v>
      </c>
      <c r="L73" t="s">
        <v>509</v>
      </c>
      <c r="M73" t="s">
        <v>228</v>
      </c>
      <c r="N73" t="s">
        <v>143</v>
      </c>
      <c r="O73" t="s">
        <v>510</v>
      </c>
      <c r="P73" t="s">
        <v>117</v>
      </c>
      <c r="Q73" t="s">
        <v>154</v>
      </c>
      <c r="R73" t="s">
        <v>511</v>
      </c>
      <c r="S73" s="2">
        <v>2443.48</v>
      </c>
      <c r="T73">
        <v>13</v>
      </c>
      <c r="U73">
        <v>0</v>
      </c>
      <c r="V73" s="2">
        <v>121.94</v>
      </c>
      <c r="W73">
        <v>589.29300000000001</v>
      </c>
      <c r="X73" t="s">
        <v>61</v>
      </c>
    </row>
    <row r="74" spans="1:24" x14ac:dyDescent="0.3">
      <c r="A74">
        <v>49085</v>
      </c>
      <c r="B74" t="s">
        <v>512</v>
      </c>
      <c r="C74" s="1">
        <v>41727</v>
      </c>
      <c r="D74" s="1">
        <v>41729</v>
      </c>
      <c r="E74" t="s">
        <v>40</v>
      </c>
      <c r="F74" t="s">
        <v>513</v>
      </c>
      <c r="G74" t="s">
        <v>514</v>
      </c>
      <c r="H74" t="s">
        <v>28</v>
      </c>
      <c r="J74" t="s">
        <v>515</v>
      </c>
      <c r="K74" t="s">
        <v>516</v>
      </c>
      <c r="L74" t="s">
        <v>303</v>
      </c>
      <c r="M74" t="s">
        <v>304</v>
      </c>
      <c r="N74" t="s">
        <v>79</v>
      </c>
      <c r="O74" t="s">
        <v>144</v>
      </c>
      <c r="P74" t="s">
        <v>50</v>
      </c>
      <c r="Q74" t="s">
        <v>51</v>
      </c>
      <c r="R74" t="s">
        <v>145</v>
      </c>
      <c r="S74" s="2">
        <v>3808.8</v>
      </c>
      <c r="T74">
        <v>8</v>
      </c>
      <c r="U74">
        <v>0</v>
      </c>
      <c r="V74" s="2">
        <v>1523.52</v>
      </c>
      <c r="W74">
        <v>588.13</v>
      </c>
      <c r="X74" t="s">
        <v>38</v>
      </c>
    </row>
    <row r="75" spans="1:24" x14ac:dyDescent="0.3">
      <c r="A75">
        <v>21209</v>
      </c>
      <c r="B75" t="s">
        <v>517</v>
      </c>
      <c r="C75" s="1">
        <v>42242</v>
      </c>
      <c r="D75" s="1">
        <v>42243</v>
      </c>
      <c r="E75" t="s">
        <v>25</v>
      </c>
      <c r="F75" t="s">
        <v>518</v>
      </c>
      <c r="G75" t="s">
        <v>519</v>
      </c>
      <c r="H75" t="s">
        <v>43</v>
      </c>
      <c r="J75" t="s">
        <v>520</v>
      </c>
      <c r="K75" t="s">
        <v>521</v>
      </c>
      <c r="L75" t="s">
        <v>331</v>
      </c>
      <c r="M75" t="s">
        <v>332</v>
      </c>
      <c r="N75" t="s">
        <v>48</v>
      </c>
      <c r="O75" t="s">
        <v>522</v>
      </c>
      <c r="P75" t="s">
        <v>50</v>
      </c>
      <c r="Q75" t="s">
        <v>104</v>
      </c>
      <c r="R75" t="s">
        <v>523</v>
      </c>
      <c r="S75" s="2">
        <v>3427.15</v>
      </c>
      <c r="T75">
        <v>7</v>
      </c>
      <c r="U75">
        <v>0.47</v>
      </c>
      <c r="V75" s="2">
        <v>-452.81</v>
      </c>
      <c r="W75">
        <v>586.57000000000005</v>
      </c>
      <c r="X75" t="s">
        <v>38</v>
      </c>
    </row>
    <row r="76" spans="1:24" x14ac:dyDescent="0.3">
      <c r="A76">
        <v>12161</v>
      </c>
      <c r="B76" t="s">
        <v>524</v>
      </c>
      <c r="C76" s="1">
        <v>41537</v>
      </c>
      <c r="D76" s="1">
        <v>41539</v>
      </c>
      <c r="E76" t="s">
        <v>40</v>
      </c>
      <c r="F76" t="s">
        <v>525</v>
      </c>
      <c r="G76" t="s">
        <v>526</v>
      </c>
      <c r="H76" t="s">
        <v>28</v>
      </c>
      <c r="J76" t="s">
        <v>527</v>
      </c>
      <c r="K76" t="s">
        <v>320</v>
      </c>
      <c r="L76" t="s">
        <v>218</v>
      </c>
      <c r="M76" t="s">
        <v>219</v>
      </c>
      <c r="N76" t="s">
        <v>69</v>
      </c>
      <c r="O76" t="s">
        <v>528</v>
      </c>
      <c r="P76" t="s">
        <v>35</v>
      </c>
      <c r="Q76" t="s">
        <v>36</v>
      </c>
      <c r="R76" t="s">
        <v>529</v>
      </c>
      <c r="S76" s="2">
        <v>3441.69</v>
      </c>
      <c r="T76">
        <v>6</v>
      </c>
      <c r="U76">
        <v>0.1</v>
      </c>
      <c r="V76" s="2">
        <v>38.07</v>
      </c>
      <c r="W76">
        <v>585.25</v>
      </c>
      <c r="X76" t="s">
        <v>38</v>
      </c>
    </row>
    <row r="77" spans="1:24" x14ac:dyDescent="0.3">
      <c r="A77">
        <v>25438</v>
      </c>
      <c r="B77" t="s">
        <v>530</v>
      </c>
      <c r="C77" s="1">
        <v>42140</v>
      </c>
      <c r="D77" s="1">
        <v>42142</v>
      </c>
      <c r="E77" t="s">
        <v>40</v>
      </c>
      <c r="F77" t="s">
        <v>531</v>
      </c>
      <c r="G77" t="s">
        <v>386</v>
      </c>
      <c r="H77" t="s">
        <v>28</v>
      </c>
      <c r="J77" t="s">
        <v>532</v>
      </c>
      <c r="K77" t="s">
        <v>533</v>
      </c>
      <c r="L77" t="s">
        <v>46</v>
      </c>
      <c r="M77" t="s">
        <v>47</v>
      </c>
      <c r="N77" t="s">
        <v>48</v>
      </c>
      <c r="O77" t="s">
        <v>534</v>
      </c>
      <c r="P77" t="s">
        <v>35</v>
      </c>
      <c r="Q77" t="s">
        <v>36</v>
      </c>
      <c r="R77" t="s">
        <v>535</v>
      </c>
      <c r="S77" s="2">
        <v>2863.35</v>
      </c>
      <c r="T77">
        <v>5</v>
      </c>
      <c r="U77">
        <v>0.1</v>
      </c>
      <c r="V77" s="2">
        <v>858.9</v>
      </c>
      <c r="W77">
        <v>581.88</v>
      </c>
      <c r="X77" t="s">
        <v>53</v>
      </c>
    </row>
    <row r="78" spans="1:24" x14ac:dyDescent="0.3">
      <c r="A78">
        <v>33130</v>
      </c>
      <c r="B78" t="s">
        <v>536</v>
      </c>
      <c r="C78" s="1">
        <v>42218</v>
      </c>
      <c r="D78" s="1">
        <v>42224</v>
      </c>
      <c r="E78" t="s">
        <v>98</v>
      </c>
      <c r="F78" t="s">
        <v>537</v>
      </c>
      <c r="G78" t="s">
        <v>471</v>
      </c>
      <c r="H78" t="s">
        <v>43</v>
      </c>
      <c r="I78">
        <v>78745</v>
      </c>
      <c r="J78" t="s">
        <v>538</v>
      </c>
      <c r="K78" t="s">
        <v>166</v>
      </c>
      <c r="L78" t="s">
        <v>31</v>
      </c>
      <c r="M78" t="s">
        <v>32</v>
      </c>
      <c r="N78" t="s">
        <v>33</v>
      </c>
      <c r="O78" t="s">
        <v>539</v>
      </c>
      <c r="P78" t="s">
        <v>35</v>
      </c>
      <c r="Q78" t="s">
        <v>283</v>
      </c>
      <c r="R78" t="s">
        <v>540</v>
      </c>
      <c r="S78" s="2">
        <v>1439.98</v>
      </c>
      <c r="T78">
        <v>3</v>
      </c>
      <c r="U78">
        <v>0.4</v>
      </c>
      <c r="V78" s="2">
        <v>-264</v>
      </c>
      <c r="W78">
        <v>103.62</v>
      </c>
      <c r="X78" t="s">
        <v>61</v>
      </c>
    </row>
    <row r="79" spans="1:24" x14ac:dyDescent="0.3">
      <c r="A79">
        <v>16988</v>
      </c>
      <c r="B79" t="s">
        <v>541</v>
      </c>
      <c r="C79" s="1">
        <v>41967</v>
      </c>
      <c r="D79" s="1">
        <v>41968</v>
      </c>
      <c r="E79" t="s">
        <v>25</v>
      </c>
      <c r="F79" t="s">
        <v>542</v>
      </c>
      <c r="G79" t="s">
        <v>543</v>
      </c>
      <c r="H79" t="s">
        <v>28</v>
      </c>
      <c r="J79" t="s">
        <v>544</v>
      </c>
      <c r="K79" t="s">
        <v>545</v>
      </c>
      <c r="L79" t="s">
        <v>67</v>
      </c>
      <c r="M79" t="s">
        <v>68</v>
      </c>
      <c r="N79" t="s">
        <v>69</v>
      </c>
      <c r="O79" t="s">
        <v>546</v>
      </c>
      <c r="P79" t="s">
        <v>35</v>
      </c>
      <c r="Q79" t="s">
        <v>81</v>
      </c>
      <c r="R79" t="s">
        <v>547</v>
      </c>
      <c r="S79" s="2">
        <v>1487.4</v>
      </c>
      <c r="T79">
        <v>10</v>
      </c>
      <c r="U79">
        <v>0</v>
      </c>
      <c r="V79" s="2">
        <v>728.7</v>
      </c>
      <c r="W79">
        <v>580.98</v>
      </c>
      <c r="X79" t="s">
        <v>53</v>
      </c>
    </row>
    <row r="80" spans="1:24" x14ac:dyDescent="0.3">
      <c r="A80">
        <v>24443</v>
      </c>
      <c r="B80" t="s">
        <v>548</v>
      </c>
      <c r="C80" s="1">
        <v>41221</v>
      </c>
      <c r="D80" s="1">
        <v>41223</v>
      </c>
      <c r="E80" t="s">
        <v>40</v>
      </c>
      <c r="F80" t="s">
        <v>549</v>
      </c>
      <c r="G80" t="s">
        <v>550</v>
      </c>
      <c r="H80" t="s">
        <v>65</v>
      </c>
      <c r="J80" t="s">
        <v>551</v>
      </c>
      <c r="K80" t="s">
        <v>552</v>
      </c>
      <c r="L80" t="s">
        <v>151</v>
      </c>
      <c r="M80" t="s">
        <v>152</v>
      </c>
      <c r="N80" t="s">
        <v>48</v>
      </c>
      <c r="O80" t="s">
        <v>553</v>
      </c>
      <c r="P80" t="s">
        <v>35</v>
      </c>
      <c r="Q80" t="s">
        <v>81</v>
      </c>
      <c r="R80" t="s">
        <v>554</v>
      </c>
      <c r="S80" s="2">
        <v>3200.04</v>
      </c>
      <c r="T80">
        <v>9</v>
      </c>
      <c r="U80">
        <v>0</v>
      </c>
      <c r="V80" s="2">
        <v>1183.95</v>
      </c>
      <c r="W80">
        <v>576.71</v>
      </c>
      <c r="X80" t="s">
        <v>61</v>
      </c>
    </row>
    <row r="81" spans="1:24" x14ac:dyDescent="0.3">
      <c r="A81">
        <v>30199</v>
      </c>
      <c r="B81" t="s">
        <v>555</v>
      </c>
      <c r="C81" s="1">
        <v>41209</v>
      </c>
      <c r="D81" s="1">
        <v>41209</v>
      </c>
      <c r="E81" t="s">
        <v>73</v>
      </c>
      <c r="F81" t="s">
        <v>556</v>
      </c>
      <c r="G81" t="s">
        <v>557</v>
      </c>
      <c r="H81" t="s">
        <v>28</v>
      </c>
      <c r="J81" t="s">
        <v>558</v>
      </c>
      <c r="K81" t="s">
        <v>559</v>
      </c>
      <c r="L81" t="s">
        <v>266</v>
      </c>
      <c r="M81" t="s">
        <v>125</v>
      </c>
      <c r="N81" t="s">
        <v>48</v>
      </c>
      <c r="O81" t="s">
        <v>375</v>
      </c>
      <c r="P81" t="s">
        <v>50</v>
      </c>
      <c r="Q81" t="s">
        <v>51</v>
      </c>
      <c r="R81" t="s">
        <v>376</v>
      </c>
      <c r="S81" s="2">
        <v>2301</v>
      </c>
      <c r="T81">
        <v>5</v>
      </c>
      <c r="U81">
        <v>0</v>
      </c>
      <c r="V81" s="2">
        <v>91.95</v>
      </c>
      <c r="W81">
        <v>573.27</v>
      </c>
      <c r="X81" t="s">
        <v>53</v>
      </c>
    </row>
    <row r="82" spans="1:24" x14ac:dyDescent="0.3">
      <c r="A82">
        <v>13879</v>
      </c>
      <c r="B82" t="s">
        <v>560</v>
      </c>
      <c r="C82" s="1">
        <v>42327</v>
      </c>
      <c r="D82" s="1">
        <v>42331</v>
      </c>
      <c r="E82" t="s">
        <v>98</v>
      </c>
      <c r="F82" t="s">
        <v>561</v>
      </c>
      <c r="G82" t="s">
        <v>562</v>
      </c>
      <c r="H82" t="s">
        <v>28</v>
      </c>
      <c r="J82" t="s">
        <v>563</v>
      </c>
      <c r="K82" t="s">
        <v>564</v>
      </c>
      <c r="L82" t="s">
        <v>161</v>
      </c>
      <c r="M82" t="s">
        <v>68</v>
      </c>
      <c r="N82" t="s">
        <v>69</v>
      </c>
      <c r="O82" t="s">
        <v>565</v>
      </c>
      <c r="P82" t="s">
        <v>50</v>
      </c>
      <c r="Q82" t="s">
        <v>51</v>
      </c>
      <c r="R82" t="s">
        <v>566</v>
      </c>
      <c r="S82" s="2">
        <v>5729.35</v>
      </c>
      <c r="T82">
        <v>14</v>
      </c>
      <c r="U82">
        <v>0.1</v>
      </c>
      <c r="V82" s="2">
        <v>63.55</v>
      </c>
      <c r="W82">
        <v>572.95000000000005</v>
      </c>
      <c r="X82" t="s">
        <v>38</v>
      </c>
    </row>
    <row r="83" spans="1:24" x14ac:dyDescent="0.3">
      <c r="A83">
        <v>50788</v>
      </c>
      <c r="B83" t="s">
        <v>567</v>
      </c>
      <c r="C83" s="1">
        <v>42305</v>
      </c>
      <c r="D83" s="1">
        <v>42307</v>
      </c>
      <c r="E83" t="s">
        <v>40</v>
      </c>
      <c r="F83" t="s">
        <v>568</v>
      </c>
      <c r="G83" t="s">
        <v>293</v>
      </c>
      <c r="H83" t="s">
        <v>43</v>
      </c>
      <c r="J83" t="s">
        <v>569</v>
      </c>
      <c r="K83" t="s">
        <v>570</v>
      </c>
      <c r="L83" t="s">
        <v>571</v>
      </c>
      <c r="M83" t="s">
        <v>572</v>
      </c>
      <c r="N83" t="s">
        <v>79</v>
      </c>
      <c r="O83" t="s">
        <v>573</v>
      </c>
      <c r="P83" t="s">
        <v>35</v>
      </c>
      <c r="Q83" t="s">
        <v>81</v>
      </c>
      <c r="R83" t="s">
        <v>574</v>
      </c>
      <c r="S83" s="2">
        <v>5301.24</v>
      </c>
      <c r="T83">
        <v>14</v>
      </c>
      <c r="U83">
        <v>0</v>
      </c>
      <c r="V83" s="2">
        <v>2597.2800000000002</v>
      </c>
      <c r="W83">
        <v>568.45000000000005</v>
      </c>
      <c r="X83" t="s">
        <v>61</v>
      </c>
    </row>
    <row r="84" spans="1:24" x14ac:dyDescent="0.3">
      <c r="A84">
        <v>40834</v>
      </c>
      <c r="B84" t="s">
        <v>575</v>
      </c>
      <c r="C84" s="1">
        <v>41908</v>
      </c>
      <c r="D84" s="1">
        <v>41910</v>
      </c>
      <c r="E84" t="s">
        <v>25</v>
      </c>
      <c r="F84" t="s">
        <v>576</v>
      </c>
      <c r="G84" t="s">
        <v>471</v>
      </c>
      <c r="H84" t="s">
        <v>43</v>
      </c>
      <c r="I84">
        <v>94110</v>
      </c>
      <c r="J84" t="s">
        <v>287</v>
      </c>
      <c r="K84" t="s">
        <v>288</v>
      </c>
      <c r="L84" t="s">
        <v>31</v>
      </c>
      <c r="M84" t="s">
        <v>113</v>
      </c>
      <c r="N84" t="s">
        <v>33</v>
      </c>
      <c r="O84" t="s">
        <v>577</v>
      </c>
      <c r="P84" t="s">
        <v>50</v>
      </c>
      <c r="Q84" t="s">
        <v>107</v>
      </c>
      <c r="R84" t="s">
        <v>578</v>
      </c>
      <c r="S84" s="2">
        <v>477.67</v>
      </c>
      <c r="T84">
        <v>2</v>
      </c>
      <c r="U84">
        <v>0.15</v>
      </c>
      <c r="V84" s="2">
        <v>84.29</v>
      </c>
      <c r="W84">
        <v>43.01</v>
      </c>
      <c r="X84" t="s">
        <v>53</v>
      </c>
    </row>
    <row r="85" spans="1:24" x14ac:dyDescent="0.3">
      <c r="A85">
        <v>40425</v>
      </c>
      <c r="B85" t="s">
        <v>579</v>
      </c>
      <c r="C85" s="1">
        <v>42252</v>
      </c>
      <c r="D85" s="1">
        <v>42253</v>
      </c>
      <c r="E85" t="s">
        <v>25</v>
      </c>
      <c r="F85" t="s">
        <v>576</v>
      </c>
      <c r="G85" t="s">
        <v>471</v>
      </c>
      <c r="H85" t="s">
        <v>43</v>
      </c>
      <c r="I85">
        <v>97756</v>
      </c>
      <c r="J85" t="s">
        <v>580</v>
      </c>
      <c r="K85" t="s">
        <v>581</v>
      </c>
      <c r="L85" t="s">
        <v>31</v>
      </c>
      <c r="M85" t="s">
        <v>113</v>
      </c>
      <c r="N85" t="s">
        <v>33</v>
      </c>
      <c r="O85" t="s">
        <v>582</v>
      </c>
      <c r="P85" t="s">
        <v>117</v>
      </c>
      <c r="Q85" t="s">
        <v>393</v>
      </c>
      <c r="R85" t="s">
        <v>583</v>
      </c>
      <c r="S85" s="2">
        <v>88.07</v>
      </c>
      <c r="T85">
        <v>7</v>
      </c>
      <c r="U85">
        <v>0.7</v>
      </c>
      <c r="V85" s="2">
        <v>-58.72</v>
      </c>
      <c r="W85">
        <v>23.88</v>
      </c>
      <c r="X85" t="s">
        <v>38</v>
      </c>
    </row>
    <row r="86" spans="1:24" x14ac:dyDescent="0.3">
      <c r="A86">
        <v>18241</v>
      </c>
      <c r="B86" t="s">
        <v>584</v>
      </c>
      <c r="C86" s="1">
        <v>41668</v>
      </c>
      <c r="D86" s="1">
        <v>41675</v>
      </c>
      <c r="E86" t="s">
        <v>98</v>
      </c>
      <c r="F86" t="s">
        <v>585</v>
      </c>
      <c r="G86" t="s">
        <v>328</v>
      </c>
      <c r="H86" t="s">
        <v>28</v>
      </c>
      <c r="J86" t="s">
        <v>586</v>
      </c>
      <c r="K86" t="s">
        <v>545</v>
      </c>
      <c r="L86" t="s">
        <v>67</v>
      </c>
      <c r="M86" t="s">
        <v>68</v>
      </c>
      <c r="N86" t="s">
        <v>69</v>
      </c>
      <c r="O86" t="s">
        <v>229</v>
      </c>
      <c r="P86" t="s">
        <v>35</v>
      </c>
      <c r="Q86" t="s">
        <v>36</v>
      </c>
      <c r="R86" t="s">
        <v>230</v>
      </c>
      <c r="S86" s="2">
        <v>3219.9</v>
      </c>
      <c r="T86">
        <v>5</v>
      </c>
      <c r="U86">
        <v>0</v>
      </c>
      <c r="V86" s="2">
        <v>965.85</v>
      </c>
      <c r="W86">
        <v>564.25</v>
      </c>
      <c r="X86" t="s">
        <v>170</v>
      </c>
    </row>
    <row r="87" spans="1:24" x14ac:dyDescent="0.3">
      <c r="A87">
        <v>23013</v>
      </c>
      <c r="B87" t="s">
        <v>587</v>
      </c>
      <c r="C87" s="1">
        <v>41535</v>
      </c>
      <c r="D87" s="1">
        <v>41538</v>
      </c>
      <c r="E87" t="s">
        <v>40</v>
      </c>
      <c r="F87" t="s">
        <v>588</v>
      </c>
      <c r="G87" t="s">
        <v>589</v>
      </c>
      <c r="H87" t="s">
        <v>28</v>
      </c>
      <c r="J87" t="s">
        <v>590</v>
      </c>
      <c r="K87" t="s">
        <v>591</v>
      </c>
      <c r="L87" t="s">
        <v>331</v>
      </c>
      <c r="M87" t="s">
        <v>332</v>
      </c>
      <c r="N87" t="s">
        <v>48</v>
      </c>
      <c r="O87" t="s">
        <v>592</v>
      </c>
      <c r="P87" t="s">
        <v>117</v>
      </c>
      <c r="Q87" t="s">
        <v>154</v>
      </c>
      <c r="R87" t="s">
        <v>593</v>
      </c>
      <c r="S87" s="2">
        <v>2487.81</v>
      </c>
      <c r="T87">
        <v>6</v>
      </c>
      <c r="U87">
        <v>0.17</v>
      </c>
      <c r="V87" s="2">
        <v>-269.79000000000002</v>
      </c>
      <c r="W87">
        <v>562.14</v>
      </c>
      <c r="X87" t="s">
        <v>53</v>
      </c>
    </row>
    <row r="88" spans="1:24" x14ac:dyDescent="0.3">
      <c r="A88">
        <v>45616</v>
      </c>
      <c r="B88" t="s">
        <v>594</v>
      </c>
      <c r="C88" s="1">
        <v>41966</v>
      </c>
      <c r="D88" s="1">
        <v>41966</v>
      </c>
      <c r="E88" t="s">
        <v>73</v>
      </c>
      <c r="F88" t="s">
        <v>595</v>
      </c>
      <c r="G88" t="s">
        <v>596</v>
      </c>
      <c r="H88" t="s">
        <v>65</v>
      </c>
      <c r="J88" t="s">
        <v>597</v>
      </c>
      <c r="K88" t="s">
        <v>598</v>
      </c>
      <c r="L88" t="s">
        <v>571</v>
      </c>
      <c r="M88" t="s">
        <v>572</v>
      </c>
      <c r="N88" t="s">
        <v>79</v>
      </c>
      <c r="O88" t="s">
        <v>599</v>
      </c>
      <c r="P88" t="s">
        <v>117</v>
      </c>
      <c r="Q88" t="s">
        <v>154</v>
      </c>
      <c r="R88" t="s">
        <v>600</v>
      </c>
      <c r="S88" s="2">
        <v>2266.44</v>
      </c>
      <c r="T88">
        <v>4</v>
      </c>
      <c r="U88">
        <v>0</v>
      </c>
      <c r="V88" s="2">
        <v>113.28</v>
      </c>
      <c r="W88">
        <v>556.45000000000005</v>
      </c>
      <c r="X88" t="s">
        <v>61</v>
      </c>
    </row>
    <row r="89" spans="1:24" x14ac:dyDescent="0.3">
      <c r="A89">
        <v>25026</v>
      </c>
      <c r="B89" t="s">
        <v>601</v>
      </c>
      <c r="C89" s="1">
        <v>41438</v>
      </c>
      <c r="D89" s="1">
        <v>41438</v>
      </c>
      <c r="E89" t="s">
        <v>73</v>
      </c>
      <c r="F89" t="s">
        <v>602</v>
      </c>
      <c r="G89" t="s">
        <v>603</v>
      </c>
      <c r="H89" t="s">
        <v>43</v>
      </c>
      <c r="J89" t="s">
        <v>86</v>
      </c>
      <c r="K89" t="s">
        <v>45</v>
      </c>
      <c r="L89" t="s">
        <v>46</v>
      </c>
      <c r="M89" t="s">
        <v>47</v>
      </c>
      <c r="N89" t="s">
        <v>48</v>
      </c>
      <c r="O89" t="s">
        <v>604</v>
      </c>
      <c r="P89" t="s">
        <v>35</v>
      </c>
      <c r="Q89" t="s">
        <v>81</v>
      </c>
      <c r="R89" t="s">
        <v>605</v>
      </c>
      <c r="S89" s="2">
        <v>3068.36</v>
      </c>
      <c r="T89">
        <v>9</v>
      </c>
      <c r="U89">
        <v>0.1</v>
      </c>
      <c r="V89" s="2">
        <v>1124.9000000000001</v>
      </c>
      <c r="W89">
        <v>555.77</v>
      </c>
      <c r="X89" t="s">
        <v>38</v>
      </c>
    </row>
    <row r="90" spans="1:24" x14ac:dyDescent="0.3">
      <c r="A90">
        <v>27962</v>
      </c>
      <c r="B90" t="s">
        <v>606</v>
      </c>
      <c r="C90" s="1">
        <v>41940</v>
      </c>
      <c r="D90" s="1">
        <v>41943</v>
      </c>
      <c r="E90" t="s">
        <v>25</v>
      </c>
      <c r="F90" t="s">
        <v>607</v>
      </c>
      <c r="G90" t="s">
        <v>608</v>
      </c>
      <c r="H90" t="s">
        <v>28</v>
      </c>
      <c r="J90" t="s">
        <v>609</v>
      </c>
      <c r="K90" t="s">
        <v>442</v>
      </c>
      <c r="L90" t="s">
        <v>443</v>
      </c>
      <c r="M90" t="s">
        <v>125</v>
      </c>
      <c r="N90" t="s">
        <v>48</v>
      </c>
      <c r="O90" t="s">
        <v>610</v>
      </c>
      <c r="P90" t="s">
        <v>50</v>
      </c>
      <c r="Q90" t="s">
        <v>107</v>
      </c>
      <c r="R90" t="s">
        <v>611</v>
      </c>
      <c r="S90" s="2">
        <v>3728.43</v>
      </c>
      <c r="T90">
        <v>9</v>
      </c>
      <c r="U90">
        <v>0</v>
      </c>
      <c r="V90" s="2">
        <v>1192.8599999999999</v>
      </c>
      <c r="W90">
        <v>553.30999999999995</v>
      </c>
      <c r="X90" t="s">
        <v>61</v>
      </c>
    </row>
    <row r="91" spans="1:24" x14ac:dyDescent="0.3">
      <c r="A91">
        <v>26669</v>
      </c>
      <c r="B91" t="s">
        <v>612</v>
      </c>
      <c r="C91" s="1">
        <v>41985</v>
      </c>
      <c r="D91" s="1">
        <v>41987</v>
      </c>
      <c r="E91" t="s">
        <v>25</v>
      </c>
      <c r="F91" t="s">
        <v>613</v>
      </c>
      <c r="G91" t="s">
        <v>614</v>
      </c>
      <c r="H91" t="s">
        <v>28</v>
      </c>
      <c r="J91" t="s">
        <v>209</v>
      </c>
      <c r="K91" t="s">
        <v>210</v>
      </c>
      <c r="L91" t="s">
        <v>151</v>
      </c>
      <c r="M91" t="s">
        <v>152</v>
      </c>
      <c r="N91" t="s">
        <v>48</v>
      </c>
      <c r="O91" t="s">
        <v>401</v>
      </c>
      <c r="P91" t="s">
        <v>35</v>
      </c>
      <c r="Q91" t="s">
        <v>81</v>
      </c>
      <c r="R91" t="s">
        <v>402</v>
      </c>
      <c r="S91" s="2">
        <v>1581.48</v>
      </c>
      <c r="T91">
        <v>6</v>
      </c>
      <c r="U91">
        <v>0</v>
      </c>
      <c r="V91" s="2">
        <v>0</v>
      </c>
      <c r="W91">
        <v>550.74</v>
      </c>
      <c r="X91" t="s">
        <v>38</v>
      </c>
    </row>
    <row r="92" spans="1:24" x14ac:dyDescent="0.3">
      <c r="A92">
        <v>29600</v>
      </c>
      <c r="B92" t="s">
        <v>423</v>
      </c>
      <c r="C92" s="1">
        <v>41419</v>
      </c>
      <c r="D92" s="1">
        <v>41422</v>
      </c>
      <c r="E92" t="s">
        <v>40</v>
      </c>
      <c r="F92" t="s">
        <v>424</v>
      </c>
      <c r="G92" t="s">
        <v>425</v>
      </c>
      <c r="H92" t="s">
        <v>43</v>
      </c>
      <c r="J92" t="s">
        <v>426</v>
      </c>
      <c r="K92" t="s">
        <v>426</v>
      </c>
      <c r="L92" t="s">
        <v>266</v>
      </c>
      <c r="M92" t="s">
        <v>125</v>
      </c>
      <c r="N92" t="s">
        <v>48</v>
      </c>
      <c r="O92" t="s">
        <v>59</v>
      </c>
      <c r="P92" t="s">
        <v>35</v>
      </c>
      <c r="Q92" t="s">
        <v>36</v>
      </c>
      <c r="R92" t="s">
        <v>60</v>
      </c>
      <c r="S92" s="2">
        <v>1916.73</v>
      </c>
      <c r="T92">
        <v>3</v>
      </c>
      <c r="U92">
        <v>0</v>
      </c>
      <c r="V92" s="2">
        <v>498.33</v>
      </c>
      <c r="W92">
        <v>548.4</v>
      </c>
      <c r="X92" t="s">
        <v>53</v>
      </c>
    </row>
    <row r="93" spans="1:24" x14ac:dyDescent="0.3">
      <c r="A93">
        <v>34336</v>
      </c>
      <c r="B93" t="s">
        <v>615</v>
      </c>
      <c r="C93" s="1">
        <v>42281</v>
      </c>
      <c r="D93" s="1">
        <v>42286</v>
      </c>
      <c r="E93" t="s">
        <v>98</v>
      </c>
      <c r="F93" t="s">
        <v>576</v>
      </c>
      <c r="G93" t="s">
        <v>471</v>
      </c>
      <c r="H93" t="s">
        <v>43</v>
      </c>
      <c r="I93">
        <v>91104</v>
      </c>
      <c r="J93" t="s">
        <v>616</v>
      </c>
      <c r="K93" t="s">
        <v>288</v>
      </c>
      <c r="L93" t="s">
        <v>31</v>
      </c>
      <c r="M93" t="s">
        <v>113</v>
      </c>
      <c r="N93" t="s">
        <v>33</v>
      </c>
      <c r="O93" t="s">
        <v>617</v>
      </c>
      <c r="P93" t="s">
        <v>50</v>
      </c>
      <c r="Q93" t="s">
        <v>104</v>
      </c>
      <c r="R93" t="s">
        <v>618</v>
      </c>
      <c r="S93" s="2">
        <v>171.29</v>
      </c>
      <c r="T93">
        <v>3</v>
      </c>
      <c r="U93">
        <v>0.2</v>
      </c>
      <c r="V93" s="2">
        <v>-6.42</v>
      </c>
      <c r="W93">
        <v>12.65</v>
      </c>
      <c r="X93" t="s">
        <v>61</v>
      </c>
    </row>
    <row r="94" spans="1:24" x14ac:dyDescent="0.3">
      <c r="A94">
        <v>19195</v>
      </c>
      <c r="B94" t="s">
        <v>619</v>
      </c>
      <c r="C94" s="1">
        <v>41975</v>
      </c>
      <c r="D94" s="1">
        <v>41975</v>
      </c>
      <c r="E94" t="s">
        <v>73</v>
      </c>
      <c r="F94" t="s">
        <v>620</v>
      </c>
      <c r="G94" t="s">
        <v>621</v>
      </c>
      <c r="H94" t="s">
        <v>65</v>
      </c>
      <c r="J94" t="s">
        <v>159</v>
      </c>
      <c r="K94" t="s">
        <v>160</v>
      </c>
      <c r="L94" t="s">
        <v>161</v>
      </c>
      <c r="M94" t="s">
        <v>68</v>
      </c>
      <c r="N94" t="s">
        <v>69</v>
      </c>
      <c r="O94" t="s">
        <v>622</v>
      </c>
      <c r="P94" t="s">
        <v>117</v>
      </c>
      <c r="Q94" t="s">
        <v>154</v>
      </c>
      <c r="R94" t="s">
        <v>623</v>
      </c>
      <c r="S94" s="2">
        <v>2432.16</v>
      </c>
      <c r="T94">
        <v>5</v>
      </c>
      <c r="U94">
        <v>0.1</v>
      </c>
      <c r="V94" s="2">
        <v>513.36</v>
      </c>
      <c r="W94">
        <v>546.9</v>
      </c>
      <c r="X94" t="s">
        <v>53</v>
      </c>
    </row>
    <row r="95" spans="1:24" x14ac:dyDescent="0.3">
      <c r="A95">
        <v>32639</v>
      </c>
      <c r="B95" t="s">
        <v>469</v>
      </c>
      <c r="C95" s="1">
        <v>42007</v>
      </c>
      <c r="D95" s="1">
        <v>42009</v>
      </c>
      <c r="E95" t="s">
        <v>25</v>
      </c>
      <c r="F95" t="s">
        <v>470</v>
      </c>
      <c r="G95" t="s">
        <v>471</v>
      </c>
      <c r="H95" t="s">
        <v>43</v>
      </c>
      <c r="I95">
        <v>28540</v>
      </c>
      <c r="J95" t="s">
        <v>472</v>
      </c>
      <c r="K95" t="s">
        <v>473</v>
      </c>
      <c r="L95" t="s">
        <v>31</v>
      </c>
      <c r="M95" t="s">
        <v>360</v>
      </c>
      <c r="N95" t="s">
        <v>33</v>
      </c>
      <c r="O95" t="s">
        <v>624</v>
      </c>
      <c r="P95" t="s">
        <v>117</v>
      </c>
      <c r="Q95" t="s">
        <v>393</v>
      </c>
      <c r="R95" t="s">
        <v>625</v>
      </c>
      <c r="S95" s="2">
        <v>28.85</v>
      </c>
      <c r="T95">
        <v>6</v>
      </c>
      <c r="U95">
        <v>0.7</v>
      </c>
      <c r="V95" s="2">
        <v>-21.16</v>
      </c>
      <c r="W95">
        <v>5.35</v>
      </c>
      <c r="X95" t="s">
        <v>38</v>
      </c>
    </row>
    <row r="96" spans="1:24" x14ac:dyDescent="0.3">
      <c r="A96">
        <v>26731</v>
      </c>
      <c r="B96" t="s">
        <v>626</v>
      </c>
      <c r="C96" s="1">
        <v>41667</v>
      </c>
      <c r="D96" s="1">
        <v>41669</v>
      </c>
      <c r="E96" t="s">
        <v>25</v>
      </c>
      <c r="F96" t="s">
        <v>627</v>
      </c>
      <c r="G96" t="s">
        <v>628</v>
      </c>
      <c r="H96" t="s">
        <v>43</v>
      </c>
      <c r="J96" t="s">
        <v>629</v>
      </c>
      <c r="K96" t="s">
        <v>630</v>
      </c>
      <c r="L96" t="s">
        <v>631</v>
      </c>
      <c r="M96" t="s">
        <v>332</v>
      </c>
      <c r="N96" t="s">
        <v>48</v>
      </c>
      <c r="O96" t="s">
        <v>267</v>
      </c>
      <c r="P96" t="s">
        <v>50</v>
      </c>
      <c r="Q96" t="s">
        <v>51</v>
      </c>
      <c r="R96" t="s">
        <v>268</v>
      </c>
      <c r="S96" s="2">
        <v>2465.8200000000002</v>
      </c>
      <c r="T96">
        <v>7</v>
      </c>
      <c r="U96">
        <v>0.25</v>
      </c>
      <c r="V96" s="2">
        <v>197.19</v>
      </c>
      <c r="W96">
        <v>546.49</v>
      </c>
      <c r="X96" t="s">
        <v>38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476A-EC9D-47C8-9AD0-CE1372E22AED}">
  <dimension ref="A3:B7"/>
  <sheetViews>
    <sheetView workbookViewId="0">
      <selection activeCell="G23" sqref="G23"/>
    </sheetView>
  </sheetViews>
  <sheetFormatPr defaultRowHeight="14.4" x14ac:dyDescent="0.3"/>
  <cols>
    <col min="1" max="1" width="13.109375" bestFit="1" customWidth="1"/>
    <col min="2" max="2" width="12" bestFit="1" customWidth="1"/>
  </cols>
  <sheetData>
    <row r="3" spans="1:2" x14ac:dyDescent="0.3">
      <c r="A3" s="3" t="s">
        <v>632</v>
      </c>
      <c r="B3" t="s">
        <v>634</v>
      </c>
    </row>
    <row r="4" spans="1:2" x14ac:dyDescent="0.3">
      <c r="A4" s="4" t="s">
        <v>50</v>
      </c>
      <c r="B4" s="2">
        <v>86237.62999999999</v>
      </c>
    </row>
    <row r="5" spans="1:2" x14ac:dyDescent="0.3">
      <c r="A5" s="4" t="s">
        <v>117</v>
      </c>
      <c r="B5" s="2">
        <v>45716.1</v>
      </c>
    </row>
    <row r="6" spans="1:2" x14ac:dyDescent="0.3">
      <c r="A6" s="4" t="s">
        <v>35</v>
      </c>
      <c r="B6" s="2">
        <v>94308.239999999962</v>
      </c>
    </row>
    <row r="7" spans="1:2" x14ac:dyDescent="0.3">
      <c r="A7" s="4" t="s">
        <v>633</v>
      </c>
      <c r="B7" s="2">
        <v>226261.96999999994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644DB-0DD4-4903-A0B3-ADBFF860DEE2}">
  <dimension ref="A3:B85"/>
  <sheetViews>
    <sheetView workbookViewId="0">
      <selection activeCell="K22" sqref="K22"/>
    </sheetView>
  </sheetViews>
  <sheetFormatPr defaultRowHeight="14.4" x14ac:dyDescent="0.3"/>
  <cols>
    <col min="1" max="1" width="12.44140625" bestFit="1" customWidth="1"/>
    <col min="2" max="2" width="12" bestFit="1" customWidth="1"/>
  </cols>
  <sheetData>
    <row r="3" spans="1:2" x14ac:dyDescent="0.3">
      <c r="A3" s="3" t="s">
        <v>632</v>
      </c>
      <c r="B3" t="s">
        <v>634</v>
      </c>
    </row>
    <row r="4" spans="1:2" x14ac:dyDescent="0.3">
      <c r="A4" s="5">
        <v>40918</v>
      </c>
      <c r="B4" s="2">
        <v>2875.1</v>
      </c>
    </row>
    <row r="5" spans="1:2" x14ac:dyDescent="0.3">
      <c r="A5" s="5">
        <v>40958</v>
      </c>
      <c r="B5" s="2">
        <v>12.62</v>
      </c>
    </row>
    <row r="6" spans="1:2" x14ac:dyDescent="0.3">
      <c r="A6" s="5">
        <v>40974</v>
      </c>
      <c r="B6" s="2">
        <v>309.59000000000003</v>
      </c>
    </row>
    <row r="7" spans="1:2" x14ac:dyDescent="0.3">
      <c r="A7" s="5">
        <v>40981</v>
      </c>
      <c r="B7" s="2">
        <v>3069.74</v>
      </c>
    </row>
    <row r="8" spans="1:2" x14ac:dyDescent="0.3">
      <c r="A8" s="5">
        <v>41020</v>
      </c>
      <c r="B8" s="2">
        <v>257.75</v>
      </c>
    </row>
    <row r="9" spans="1:2" x14ac:dyDescent="0.3">
      <c r="A9" s="5">
        <v>41030</v>
      </c>
      <c r="B9" s="2">
        <v>2754</v>
      </c>
    </row>
    <row r="10" spans="1:2" x14ac:dyDescent="0.3">
      <c r="A10" s="5">
        <v>41041</v>
      </c>
      <c r="B10" s="2">
        <v>287.45999999999998</v>
      </c>
    </row>
    <row r="11" spans="1:2" x14ac:dyDescent="0.3">
      <c r="A11" s="5">
        <v>41165</v>
      </c>
      <c r="B11" s="2">
        <v>3817.26</v>
      </c>
    </row>
    <row r="12" spans="1:2" x14ac:dyDescent="0.3">
      <c r="A12" s="5">
        <v>41174</v>
      </c>
      <c r="B12" s="2">
        <v>3018.62</v>
      </c>
    </row>
    <row r="13" spans="1:2" x14ac:dyDescent="0.3">
      <c r="A13" s="5">
        <v>41206</v>
      </c>
      <c r="B13" s="2">
        <v>49.41</v>
      </c>
    </row>
    <row r="14" spans="1:2" x14ac:dyDescent="0.3">
      <c r="A14" s="5">
        <v>41209</v>
      </c>
      <c r="B14" s="2">
        <v>2301</v>
      </c>
    </row>
    <row r="15" spans="1:2" x14ac:dyDescent="0.3">
      <c r="A15" s="5">
        <v>41215</v>
      </c>
      <c r="B15" s="2">
        <v>2526.9299999999998</v>
      </c>
    </row>
    <row r="16" spans="1:2" x14ac:dyDescent="0.3">
      <c r="A16" s="5">
        <v>41219</v>
      </c>
      <c r="B16" s="2">
        <v>1822.08</v>
      </c>
    </row>
    <row r="17" spans="1:2" x14ac:dyDescent="0.3">
      <c r="A17" s="5">
        <v>41221</v>
      </c>
      <c r="B17" s="2">
        <v>5058.72</v>
      </c>
    </row>
    <row r="18" spans="1:2" x14ac:dyDescent="0.3">
      <c r="A18" s="5">
        <v>41234</v>
      </c>
      <c r="B18" s="2">
        <v>2443.48</v>
      </c>
    </row>
    <row r="19" spans="1:2" x14ac:dyDescent="0.3">
      <c r="A19" s="5">
        <v>41259</v>
      </c>
      <c r="B19" s="2">
        <v>3912.66</v>
      </c>
    </row>
    <row r="20" spans="1:2" x14ac:dyDescent="0.3">
      <c r="A20" s="5">
        <v>41269</v>
      </c>
      <c r="B20" s="2">
        <v>2616.96</v>
      </c>
    </row>
    <row r="21" spans="1:2" x14ac:dyDescent="0.3">
      <c r="A21" s="5">
        <v>41270</v>
      </c>
      <c r="B21" s="2">
        <v>1696.64</v>
      </c>
    </row>
    <row r="22" spans="1:2" x14ac:dyDescent="0.3">
      <c r="A22" s="5">
        <v>41273</v>
      </c>
      <c r="B22" s="2">
        <v>53.67</v>
      </c>
    </row>
    <row r="23" spans="1:2" x14ac:dyDescent="0.3">
      <c r="A23" s="5">
        <v>41329</v>
      </c>
      <c r="B23" s="2">
        <v>1878.72</v>
      </c>
    </row>
    <row r="24" spans="1:2" x14ac:dyDescent="0.3">
      <c r="A24" s="5">
        <v>41378</v>
      </c>
      <c r="B24" s="2">
        <v>5244.84</v>
      </c>
    </row>
    <row r="25" spans="1:2" x14ac:dyDescent="0.3">
      <c r="A25" s="5">
        <v>41383</v>
      </c>
      <c r="B25" s="2">
        <v>4626.1499999999996</v>
      </c>
    </row>
    <row r="26" spans="1:2" x14ac:dyDescent="0.3">
      <c r="A26" s="5">
        <v>41419</v>
      </c>
      <c r="B26" s="2">
        <v>3662.0699999999997</v>
      </c>
    </row>
    <row r="27" spans="1:2" x14ac:dyDescent="0.3">
      <c r="A27" s="5">
        <v>41424</v>
      </c>
      <c r="B27" s="2">
        <v>1526.52</v>
      </c>
    </row>
    <row r="28" spans="1:2" x14ac:dyDescent="0.3">
      <c r="A28" s="5">
        <v>41438</v>
      </c>
      <c r="B28" s="2">
        <v>3068.36</v>
      </c>
    </row>
    <row r="29" spans="1:2" x14ac:dyDescent="0.3">
      <c r="A29" s="5">
        <v>41472</v>
      </c>
      <c r="B29" s="2">
        <v>2402.87</v>
      </c>
    </row>
    <row r="30" spans="1:2" x14ac:dyDescent="0.3">
      <c r="A30" s="5">
        <v>41494</v>
      </c>
      <c r="B30" s="2">
        <v>1977.72</v>
      </c>
    </row>
    <row r="31" spans="1:2" x14ac:dyDescent="0.3">
      <c r="A31" s="5">
        <v>41535</v>
      </c>
      <c r="B31" s="2">
        <v>2487.81</v>
      </c>
    </row>
    <row r="32" spans="1:2" x14ac:dyDescent="0.3">
      <c r="A32" s="5">
        <v>41537</v>
      </c>
      <c r="B32" s="2">
        <v>3441.69</v>
      </c>
    </row>
    <row r="33" spans="1:2" x14ac:dyDescent="0.3">
      <c r="A33" s="5">
        <v>41591</v>
      </c>
      <c r="B33" s="2">
        <v>2221.8000000000002</v>
      </c>
    </row>
    <row r="34" spans="1:2" x14ac:dyDescent="0.3">
      <c r="A34" s="5">
        <v>41621</v>
      </c>
      <c r="B34" s="2">
        <v>5785.02</v>
      </c>
    </row>
    <row r="35" spans="1:2" x14ac:dyDescent="0.3">
      <c r="A35" s="5">
        <v>41635</v>
      </c>
      <c r="B35" s="2">
        <v>991.26</v>
      </c>
    </row>
    <row r="36" spans="1:2" x14ac:dyDescent="0.3">
      <c r="A36" s="5">
        <v>41667</v>
      </c>
      <c r="B36" s="2">
        <v>5358.33</v>
      </c>
    </row>
    <row r="37" spans="1:2" x14ac:dyDescent="0.3">
      <c r="A37" s="5">
        <v>41668</v>
      </c>
      <c r="B37" s="2">
        <v>3219.9</v>
      </c>
    </row>
    <row r="38" spans="1:2" x14ac:dyDescent="0.3">
      <c r="A38" s="5">
        <v>41675</v>
      </c>
      <c r="B38" s="2">
        <v>3709.4</v>
      </c>
    </row>
    <row r="39" spans="1:2" x14ac:dyDescent="0.3">
      <c r="A39" s="5">
        <v>41697</v>
      </c>
      <c r="B39" s="2">
        <v>5273.7</v>
      </c>
    </row>
    <row r="40" spans="1:2" x14ac:dyDescent="0.3">
      <c r="A40" s="5">
        <v>41706</v>
      </c>
      <c r="B40" s="2">
        <v>2092.5</v>
      </c>
    </row>
    <row r="41" spans="1:2" x14ac:dyDescent="0.3">
      <c r="A41" s="5">
        <v>41719</v>
      </c>
      <c r="B41" s="2">
        <v>86.45</v>
      </c>
    </row>
    <row r="42" spans="1:2" x14ac:dyDescent="0.3">
      <c r="A42" s="5">
        <v>41727</v>
      </c>
      <c r="B42" s="2">
        <v>3808.8</v>
      </c>
    </row>
    <row r="43" spans="1:2" x14ac:dyDescent="0.3">
      <c r="A43" s="5">
        <v>41796</v>
      </c>
      <c r="B43" s="2">
        <v>3701.52</v>
      </c>
    </row>
    <row r="44" spans="1:2" x14ac:dyDescent="0.3">
      <c r="A44" s="5">
        <v>41797</v>
      </c>
      <c r="B44" s="2">
        <v>3298.26</v>
      </c>
    </row>
    <row r="45" spans="1:2" x14ac:dyDescent="0.3">
      <c r="A45" s="5">
        <v>41818</v>
      </c>
      <c r="B45" s="2">
        <v>2862.68</v>
      </c>
    </row>
    <row r="46" spans="1:2" x14ac:dyDescent="0.3">
      <c r="A46" s="5">
        <v>41873</v>
      </c>
      <c r="B46" s="2">
        <v>3200.6</v>
      </c>
    </row>
    <row r="47" spans="1:2" x14ac:dyDescent="0.3">
      <c r="A47" s="5">
        <v>41882</v>
      </c>
      <c r="B47" s="2">
        <v>1502.01</v>
      </c>
    </row>
    <row r="48" spans="1:2" x14ac:dyDescent="0.3">
      <c r="A48" s="5">
        <v>41908</v>
      </c>
      <c r="B48" s="2">
        <v>477.67</v>
      </c>
    </row>
    <row r="49" spans="1:2" x14ac:dyDescent="0.3">
      <c r="A49" s="5">
        <v>41929</v>
      </c>
      <c r="B49" s="2">
        <v>5175.17</v>
      </c>
    </row>
    <row r="50" spans="1:2" x14ac:dyDescent="0.3">
      <c r="A50" s="5">
        <v>41940</v>
      </c>
      <c r="B50" s="2">
        <v>3728.43</v>
      </c>
    </row>
    <row r="51" spans="1:2" x14ac:dyDescent="0.3">
      <c r="A51" s="5">
        <v>41948</v>
      </c>
      <c r="B51" s="2">
        <v>2832.96</v>
      </c>
    </row>
    <row r="52" spans="1:2" x14ac:dyDescent="0.3">
      <c r="A52" s="5">
        <v>41954</v>
      </c>
      <c r="B52" s="2">
        <v>563.93999999999994</v>
      </c>
    </row>
    <row r="53" spans="1:2" x14ac:dyDescent="0.3">
      <c r="A53" s="5">
        <v>41966</v>
      </c>
      <c r="B53" s="2">
        <v>2266.44</v>
      </c>
    </row>
    <row r="54" spans="1:2" x14ac:dyDescent="0.3">
      <c r="A54" s="5">
        <v>41967</v>
      </c>
      <c r="B54" s="2">
        <v>1487.4</v>
      </c>
    </row>
    <row r="55" spans="1:2" x14ac:dyDescent="0.3">
      <c r="A55" s="5">
        <v>41975</v>
      </c>
      <c r="B55" s="2">
        <v>2432.16</v>
      </c>
    </row>
    <row r="56" spans="1:2" x14ac:dyDescent="0.3">
      <c r="A56" s="5">
        <v>41985</v>
      </c>
      <c r="B56" s="2">
        <v>1581.48</v>
      </c>
    </row>
    <row r="57" spans="1:2" x14ac:dyDescent="0.3">
      <c r="A57" s="5">
        <v>41991</v>
      </c>
      <c r="B57" s="2">
        <v>2582.16</v>
      </c>
    </row>
    <row r="58" spans="1:2" x14ac:dyDescent="0.3">
      <c r="A58" s="5">
        <v>42007</v>
      </c>
      <c r="B58" s="2">
        <v>724.55000000000007</v>
      </c>
    </row>
    <row r="59" spans="1:2" x14ac:dyDescent="0.3">
      <c r="A59" s="5">
        <v>42018</v>
      </c>
      <c r="B59" s="2">
        <v>4141.0200000000004</v>
      </c>
    </row>
    <row r="60" spans="1:2" x14ac:dyDescent="0.3">
      <c r="A60" s="5">
        <v>42022</v>
      </c>
      <c r="B60" s="2">
        <v>5049</v>
      </c>
    </row>
    <row r="61" spans="1:2" x14ac:dyDescent="0.3">
      <c r="A61" s="5">
        <v>42035</v>
      </c>
      <c r="B61" s="2">
        <v>2565.59</v>
      </c>
    </row>
    <row r="62" spans="1:2" x14ac:dyDescent="0.3">
      <c r="A62" s="5">
        <v>42074</v>
      </c>
      <c r="B62" s="2">
        <v>3063.27</v>
      </c>
    </row>
    <row r="63" spans="1:2" x14ac:dyDescent="0.3">
      <c r="A63" s="5">
        <v>42125</v>
      </c>
      <c r="B63" s="2">
        <v>2174.13</v>
      </c>
    </row>
    <row r="64" spans="1:2" x14ac:dyDescent="0.3">
      <c r="A64" s="5">
        <v>42140</v>
      </c>
      <c r="B64" s="2">
        <v>2863.35</v>
      </c>
    </row>
    <row r="65" spans="1:2" x14ac:dyDescent="0.3">
      <c r="A65" s="5">
        <v>42216</v>
      </c>
      <c r="B65" s="2">
        <v>3583.43</v>
      </c>
    </row>
    <row r="66" spans="1:2" x14ac:dyDescent="0.3">
      <c r="A66" s="5">
        <v>42218</v>
      </c>
      <c r="B66" s="2">
        <v>1439.98</v>
      </c>
    </row>
    <row r="67" spans="1:2" x14ac:dyDescent="0.3">
      <c r="A67" s="5">
        <v>42221</v>
      </c>
      <c r="B67" s="2">
        <v>4191.51</v>
      </c>
    </row>
    <row r="68" spans="1:2" x14ac:dyDescent="0.3">
      <c r="A68" s="5">
        <v>42227</v>
      </c>
      <c r="B68" s="2">
        <v>4473</v>
      </c>
    </row>
    <row r="69" spans="1:2" x14ac:dyDescent="0.3">
      <c r="A69" s="5">
        <v>42242</v>
      </c>
      <c r="B69" s="2">
        <v>3427.15</v>
      </c>
    </row>
    <row r="70" spans="1:2" x14ac:dyDescent="0.3">
      <c r="A70" s="5">
        <v>42244</v>
      </c>
      <c r="B70" s="2">
        <v>2761.2</v>
      </c>
    </row>
    <row r="71" spans="1:2" x14ac:dyDescent="0.3">
      <c r="A71" s="5">
        <v>42252</v>
      </c>
      <c r="B71" s="2">
        <v>2194.5700000000002</v>
      </c>
    </row>
    <row r="72" spans="1:2" x14ac:dyDescent="0.3">
      <c r="A72" s="5">
        <v>42255</v>
      </c>
      <c r="B72" s="2">
        <v>7958.58</v>
      </c>
    </row>
    <row r="73" spans="1:2" x14ac:dyDescent="0.3">
      <c r="A73" s="5">
        <v>42265</v>
      </c>
      <c r="B73" s="2">
        <v>2108.64</v>
      </c>
    </row>
    <row r="74" spans="1:2" x14ac:dyDescent="0.3">
      <c r="A74" s="5">
        <v>42273</v>
      </c>
      <c r="B74" s="2">
        <v>5667.87</v>
      </c>
    </row>
    <row r="75" spans="1:2" x14ac:dyDescent="0.3">
      <c r="A75" s="5">
        <v>42281</v>
      </c>
      <c r="B75" s="2">
        <v>171.29</v>
      </c>
    </row>
    <row r="76" spans="1:2" x14ac:dyDescent="0.3">
      <c r="A76" s="5">
        <v>42305</v>
      </c>
      <c r="B76" s="2">
        <v>5301.24</v>
      </c>
    </row>
    <row r="77" spans="1:2" x14ac:dyDescent="0.3">
      <c r="A77" s="5">
        <v>42319</v>
      </c>
      <c r="B77" s="2">
        <v>4518.78</v>
      </c>
    </row>
    <row r="78" spans="1:2" x14ac:dyDescent="0.3">
      <c r="A78" s="5">
        <v>42327</v>
      </c>
      <c r="B78" s="2">
        <v>5729.35</v>
      </c>
    </row>
    <row r="79" spans="1:2" x14ac:dyDescent="0.3">
      <c r="A79" s="5">
        <v>42328</v>
      </c>
      <c r="B79" s="2">
        <v>1704</v>
      </c>
    </row>
    <row r="80" spans="1:2" x14ac:dyDescent="0.3">
      <c r="A80" s="5">
        <v>42343</v>
      </c>
      <c r="B80" s="2">
        <v>3409.74</v>
      </c>
    </row>
    <row r="81" spans="1:2" x14ac:dyDescent="0.3">
      <c r="A81" s="5">
        <v>42345</v>
      </c>
      <c r="B81" s="2">
        <v>2188.0500000000002</v>
      </c>
    </row>
    <row r="82" spans="1:2" x14ac:dyDescent="0.3">
      <c r="A82" s="5">
        <v>42354</v>
      </c>
      <c r="B82" s="2">
        <v>1920.36</v>
      </c>
    </row>
    <row r="83" spans="1:2" x14ac:dyDescent="0.3">
      <c r="A83" s="5">
        <v>42356</v>
      </c>
      <c r="B83" s="2">
        <v>3473.14</v>
      </c>
    </row>
    <row r="84" spans="1:2" x14ac:dyDescent="0.3">
      <c r="A84" s="5">
        <v>42357</v>
      </c>
      <c r="B84" s="2">
        <v>18.7</v>
      </c>
    </row>
    <row r="85" spans="1:2" x14ac:dyDescent="0.3">
      <c r="A85" s="4" t="s">
        <v>633</v>
      </c>
      <c r="B85" s="2">
        <v>226261.96999999997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E2573-E8DF-45A6-B2C1-831E9ADADA6D}">
  <dimension ref="A3:B73"/>
  <sheetViews>
    <sheetView topLeftCell="A27" workbookViewId="0">
      <selection activeCell="F50" sqref="F50"/>
    </sheetView>
  </sheetViews>
  <sheetFormatPr defaultRowHeight="14.4" x14ac:dyDescent="0.3"/>
  <cols>
    <col min="1" max="1" width="17.21875" bestFit="1" customWidth="1"/>
    <col min="2" max="2" width="12" bestFit="1" customWidth="1"/>
  </cols>
  <sheetData>
    <row r="3" spans="1:2" x14ac:dyDescent="0.3">
      <c r="A3" s="3" t="s">
        <v>632</v>
      </c>
      <c r="B3" t="s">
        <v>634</v>
      </c>
    </row>
    <row r="4" spans="1:2" x14ac:dyDescent="0.3">
      <c r="A4" s="4" t="s">
        <v>173</v>
      </c>
      <c r="B4" s="2">
        <v>7958.58</v>
      </c>
    </row>
    <row r="5" spans="1:2" x14ac:dyDescent="0.3">
      <c r="A5" s="4" t="s">
        <v>293</v>
      </c>
      <c r="B5" s="2">
        <v>7828.17</v>
      </c>
    </row>
    <row r="6" spans="1:2" x14ac:dyDescent="0.3">
      <c r="A6" s="4" t="s">
        <v>328</v>
      </c>
      <c r="B6" s="2">
        <v>6420.5</v>
      </c>
    </row>
    <row r="7" spans="1:2" x14ac:dyDescent="0.3">
      <c r="A7" s="4" t="s">
        <v>386</v>
      </c>
      <c r="B7" s="2">
        <v>6336.49</v>
      </c>
    </row>
    <row r="8" spans="1:2" x14ac:dyDescent="0.3">
      <c r="A8" s="4" t="s">
        <v>349</v>
      </c>
      <c r="B8" s="2">
        <v>5785.02</v>
      </c>
    </row>
    <row r="9" spans="1:2" x14ac:dyDescent="0.3">
      <c r="A9" s="4" t="s">
        <v>562</v>
      </c>
      <c r="B9" s="2">
        <v>5729.35</v>
      </c>
    </row>
    <row r="10" spans="1:2" x14ac:dyDescent="0.3">
      <c r="A10" s="4" t="s">
        <v>342</v>
      </c>
      <c r="B10" s="2">
        <v>5667.87</v>
      </c>
    </row>
    <row r="11" spans="1:2" x14ac:dyDescent="0.3">
      <c r="A11" s="4" t="s">
        <v>254</v>
      </c>
      <c r="B11" s="2">
        <v>5561.96</v>
      </c>
    </row>
    <row r="12" spans="1:2" x14ac:dyDescent="0.3">
      <c r="A12" s="4" t="s">
        <v>215</v>
      </c>
      <c r="B12" s="2">
        <v>5273.7</v>
      </c>
    </row>
    <row r="13" spans="1:2" x14ac:dyDescent="0.3">
      <c r="A13" s="4" t="s">
        <v>100</v>
      </c>
      <c r="B13" s="2">
        <v>5244.84</v>
      </c>
    </row>
    <row r="14" spans="1:2" x14ac:dyDescent="0.3">
      <c r="A14" s="4" t="s">
        <v>56</v>
      </c>
      <c r="B14" s="2">
        <v>5175.17</v>
      </c>
    </row>
    <row r="15" spans="1:2" x14ac:dyDescent="0.3">
      <c r="A15" s="4" t="s">
        <v>466</v>
      </c>
      <c r="B15" s="2">
        <v>5049</v>
      </c>
    </row>
    <row r="16" spans="1:2" x14ac:dyDescent="0.3">
      <c r="A16" s="4" t="s">
        <v>122</v>
      </c>
      <c r="B16" s="2">
        <v>4626.1499999999996</v>
      </c>
    </row>
    <row r="17" spans="1:2" x14ac:dyDescent="0.3">
      <c r="A17" s="4" t="s">
        <v>335</v>
      </c>
      <c r="B17" s="2">
        <v>4518.78</v>
      </c>
    </row>
    <row r="18" spans="1:2" x14ac:dyDescent="0.3">
      <c r="A18" s="4" t="s">
        <v>453</v>
      </c>
      <c r="B18" s="2">
        <v>4473</v>
      </c>
    </row>
    <row r="19" spans="1:2" x14ac:dyDescent="0.3">
      <c r="A19" s="4" t="s">
        <v>431</v>
      </c>
      <c r="B19" s="2">
        <v>4191.51</v>
      </c>
    </row>
    <row r="20" spans="1:2" x14ac:dyDescent="0.3">
      <c r="A20" s="4" t="s">
        <v>318</v>
      </c>
      <c r="B20" s="2">
        <v>4141.0200000000004</v>
      </c>
    </row>
    <row r="21" spans="1:2" x14ac:dyDescent="0.3">
      <c r="A21" s="4" t="s">
        <v>241</v>
      </c>
      <c r="B21" s="2">
        <v>3912.66</v>
      </c>
    </row>
    <row r="22" spans="1:2" x14ac:dyDescent="0.3">
      <c r="A22" s="4" t="s">
        <v>514</v>
      </c>
      <c r="B22" s="2">
        <v>3808.8</v>
      </c>
    </row>
    <row r="23" spans="1:2" x14ac:dyDescent="0.3">
      <c r="A23" s="4" t="s">
        <v>608</v>
      </c>
      <c r="B23" s="2">
        <v>3728.43</v>
      </c>
    </row>
    <row r="24" spans="1:2" x14ac:dyDescent="0.3">
      <c r="A24" s="4" t="s">
        <v>42</v>
      </c>
      <c r="B24" s="2">
        <v>3709.4</v>
      </c>
    </row>
    <row r="25" spans="1:2" x14ac:dyDescent="0.3">
      <c r="A25" s="4" t="s">
        <v>148</v>
      </c>
      <c r="B25" s="2">
        <v>3701.52</v>
      </c>
    </row>
    <row r="26" spans="1:2" x14ac:dyDescent="0.3">
      <c r="A26" s="4" t="s">
        <v>425</v>
      </c>
      <c r="B26" s="2">
        <v>3662.0699999999997</v>
      </c>
    </row>
    <row r="27" spans="1:2" x14ac:dyDescent="0.3">
      <c r="A27" s="4" t="s">
        <v>526</v>
      </c>
      <c r="B27" s="2">
        <v>3441.69</v>
      </c>
    </row>
    <row r="28" spans="1:2" x14ac:dyDescent="0.3">
      <c r="A28" s="4" t="s">
        <v>519</v>
      </c>
      <c r="B28" s="2">
        <v>3427.15</v>
      </c>
    </row>
    <row r="29" spans="1:2" x14ac:dyDescent="0.3">
      <c r="A29" s="4" t="s">
        <v>188</v>
      </c>
      <c r="B29" s="2">
        <v>3409.74</v>
      </c>
    </row>
    <row r="30" spans="1:2" x14ac:dyDescent="0.3">
      <c r="A30" s="4" t="s">
        <v>503</v>
      </c>
      <c r="B30" s="2">
        <v>3298.26</v>
      </c>
    </row>
    <row r="31" spans="1:2" x14ac:dyDescent="0.3">
      <c r="A31" s="4" t="s">
        <v>550</v>
      </c>
      <c r="B31" s="2">
        <v>3200.04</v>
      </c>
    </row>
    <row r="32" spans="1:2" x14ac:dyDescent="0.3">
      <c r="A32" s="4" t="s">
        <v>249</v>
      </c>
      <c r="B32" s="2">
        <v>3069.74</v>
      </c>
    </row>
    <row r="33" spans="1:2" x14ac:dyDescent="0.3">
      <c r="A33" s="4" t="s">
        <v>603</v>
      </c>
      <c r="B33" s="2">
        <v>3068.36</v>
      </c>
    </row>
    <row r="34" spans="1:2" x14ac:dyDescent="0.3">
      <c r="A34" s="4" t="s">
        <v>441</v>
      </c>
      <c r="B34" s="2">
        <v>3063.27</v>
      </c>
    </row>
    <row r="35" spans="1:2" x14ac:dyDescent="0.3">
      <c r="A35" s="4" t="s">
        <v>353</v>
      </c>
      <c r="B35" s="2">
        <v>3018.62</v>
      </c>
    </row>
    <row r="36" spans="1:2" x14ac:dyDescent="0.3">
      <c r="A36" s="4" t="s">
        <v>471</v>
      </c>
      <c r="B36" s="2">
        <v>2901.5600000000004</v>
      </c>
    </row>
    <row r="37" spans="1:2" x14ac:dyDescent="0.3">
      <c r="A37" s="4" t="s">
        <v>64</v>
      </c>
      <c r="B37" s="2">
        <v>2892.51</v>
      </c>
    </row>
    <row r="38" spans="1:2" x14ac:dyDescent="0.3">
      <c r="A38" s="4" t="s">
        <v>325</v>
      </c>
      <c r="B38" s="2">
        <v>2875.1</v>
      </c>
    </row>
    <row r="39" spans="1:2" x14ac:dyDescent="0.3">
      <c r="A39" s="4" t="s">
        <v>85</v>
      </c>
      <c r="B39" s="2">
        <v>2862.68</v>
      </c>
    </row>
    <row r="40" spans="1:2" x14ac:dyDescent="0.3">
      <c r="A40" s="4" t="s">
        <v>75</v>
      </c>
      <c r="B40" s="2">
        <v>2832.96</v>
      </c>
    </row>
    <row r="41" spans="1:2" x14ac:dyDescent="0.3">
      <c r="A41" s="4" t="s">
        <v>372</v>
      </c>
      <c r="B41" s="2">
        <v>2761.2</v>
      </c>
    </row>
    <row r="42" spans="1:2" x14ac:dyDescent="0.3">
      <c r="A42" s="4" t="s">
        <v>208</v>
      </c>
      <c r="B42" s="2">
        <v>2754</v>
      </c>
    </row>
    <row r="43" spans="1:2" x14ac:dyDescent="0.3">
      <c r="A43" s="4" t="s">
        <v>130</v>
      </c>
      <c r="B43" s="2">
        <v>2616.96</v>
      </c>
    </row>
    <row r="44" spans="1:2" x14ac:dyDescent="0.3">
      <c r="A44" s="4" t="s">
        <v>410</v>
      </c>
      <c r="B44" s="2">
        <v>2582.16</v>
      </c>
    </row>
    <row r="45" spans="1:2" x14ac:dyDescent="0.3">
      <c r="A45" s="4" t="s">
        <v>182</v>
      </c>
      <c r="B45" s="2">
        <v>2565.59</v>
      </c>
    </row>
    <row r="46" spans="1:2" x14ac:dyDescent="0.3">
      <c r="A46" s="4" t="s">
        <v>589</v>
      </c>
      <c r="B46" s="2">
        <v>2487.81</v>
      </c>
    </row>
    <row r="47" spans="1:2" x14ac:dyDescent="0.3">
      <c r="A47" s="4" t="s">
        <v>628</v>
      </c>
      <c r="B47" s="2">
        <v>2465.8200000000002</v>
      </c>
    </row>
    <row r="48" spans="1:2" x14ac:dyDescent="0.3">
      <c r="A48" s="4" t="s">
        <v>507</v>
      </c>
      <c r="B48" s="2">
        <v>2443.48</v>
      </c>
    </row>
    <row r="49" spans="1:2" x14ac:dyDescent="0.3">
      <c r="A49" s="4" t="s">
        <v>621</v>
      </c>
      <c r="B49" s="2">
        <v>2432.16</v>
      </c>
    </row>
    <row r="50" spans="1:2" x14ac:dyDescent="0.3">
      <c r="A50" s="4" t="s">
        <v>279</v>
      </c>
      <c r="B50" s="2">
        <v>2402.87</v>
      </c>
    </row>
    <row r="51" spans="1:2" x14ac:dyDescent="0.3">
      <c r="A51" s="4" t="s">
        <v>557</v>
      </c>
      <c r="B51" s="2">
        <v>2301</v>
      </c>
    </row>
    <row r="52" spans="1:2" x14ac:dyDescent="0.3">
      <c r="A52" s="4" t="s">
        <v>596</v>
      </c>
      <c r="B52" s="2">
        <v>2266.44</v>
      </c>
    </row>
    <row r="53" spans="1:2" x14ac:dyDescent="0.3">
      <c r="A53" s="4" t="s">
        <v>138</v>
      </c>
      <c r="B53" s="2">
        <v>2221.8000000000002</v>
      </c>
    </row>
    <row r="54" spans="1:2" x14ac:dyDescent="0.3">
      <c r="A54" s="4" t="s">
        <v>478</v>
      </c>
      <c r="B54" s="2">
        <v>2188.0500000000002</v>
      </c>
    </row>
    <row r="55" spans="1:2" x14ac:dyDescent="0.3">
      <c r="A55" s="4" t="s">
        <v>379</v>
      </c>
      <c r="B55" s="2">
        <v>2174.13</v>
      </c>
    </row>
    <row r="56" spans="1:2" x14ac:dyDescent="0.3">
      <c r="A56" s="4" t="s">
        <v>397</v>
      </c>
      <c r="B56" s="2">
        <v>2108.64</v>
      </c>
    </row>
    <row r="57" spans="1:2" x14ac:dyDescent="0.3">
      <c r="A57" s="4" t="s">
        <v>233</v>
      </c>
      <c r="B57" s="2">
        <v>2106.5</v>
      </c>
    </row>
    <row r="58" spans="1:2" x14ac:dyDescent="0.3">
      <c r="A58" s="4" t="s">
        <v>366</v>
      </c>
      <c r="B58" s="2">
        <v>2092.5</v>
      </c>
    </row>
    <row r="59" spans="1:2" x14ac:dyDescent="0.3">
      <c r="A59" s="4" t="s">
        <v>197</v>
      </c>
      <c r="B59" s="2">
        <v>1977.72</v>
      </c>
    </row>
    <row r="60" spans="1:2" x14ac:dyDescent="0.3">
      <c r="A60" s="4" t="s">
        <v>484</v>
      </c>
      <c r="B60" s="2">
        <v>1920.36</v>
      </c>
    </row>
    <row r="61" spans="1:2" x14ac:dyDescent="0.3">
      <c r="A61" s="4" t="s">
        <v>263</v>
      </c>
      <c r="B61" s="2">
        <v>1878.72</v>
      </c>
    </row>
    <row r="62" spans="1:2" x14ac:dyDescent="0.3">
      <c r="A62" s="4" t="s">
        <v>158</v>
      </c>
      <c r="B62" s="2">
        <v>1869.59</v>
      </c>
    </row>
    <row r="63" spans="1:2" x14ac:dyDescent="0.3">
      <c r="A63" s="4" t="s">
        <v>496</v>
      </c>
      <c r="B63" s="2">
        <v>1858.68</v>
      </c>
    </row>
    <row r="64" spans="1:2" x14ac:dyDescent="0.3">
      <c r="A64" s="4" t="s">
        <v>91</v>
      </c>
      <c r="B64" s="2">
        <v>1822.08</v>
      </c>
    </row>
    <row r="65" spans="1:2" x14ac:dyDescent="0.3">
      <c r="A65" s="4" t="s">
        <v>224</v>
      </c>
      <c r="B65" s="2">
        <v>1713.84</v>
      </c>
    </row>
    <row r="66" spans="1:2" x14ac:dyDescent="0.3">
      <c r="A66" s="4" t="s">
        <v>491</v>
      </c>
      <c r="B66" s="2">
        <v>1704</v>
      </c>
    </row>
    <row r="67" spans="1:2" x14ac:dyDescent="0.3">
      <c r="A67" s="4" t="s">
        <v>271</v>
      </c>
      <c r="B67" s="2">
        <v>1696.64</v>
      </c>
    </row>
    <row r="68" spans="1:2" x14ac:dyDescent="0.3">
      <c r="A68" s="4" t="s">
        <v>614</v>
      </c>
      <c r="B68" s="2">
        <v>1581.48</v>
      </c>
    </row>
    <row r="69" spans="1:2" x14ac:dyDescent="0.3">
      <c r="A69" s="4" t="s">
        <v>416</v>
      </c>
      <c r="B69" s="2">
        <v>1526.52</v>
      </c>
    </row>
    <row r="70" spans="1:2" x14ac:dyDescent="0.3">
      <c r="A70" s="4" t="s">
        <v>460</v>
      </c>
      <c r="B70" s="2">
        <v>1502.01</v>
      </c>
    </row>
    <row r="71" spans="1:2" x14ac:dyDescent="0.3">
      <c r="A71" s="4" t="s">
        <v>543</v>
      </c>
      <c r="B71" s="2">
        <v>1487.4</v>
      </c>
    </row>
    <row r="72" spans="1:2" x14ac:dyDescent="0.3">
      <c r="A72" s="4" t="s">
        <v>27</v>
      </c>
      <c r="B72" s="2">
        <v>886.15000000000009</v>
      </c>
    </row>
    <row r="73" spans="1:2" x14ac:dyDescent="0.3">
      <c r="A73" s="4" t="s">
        <v>633</v>
      </c>
      <c r="B73" s="2">
        <v>226261.96999999997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B933E-BFD2-4592-94A6-D9BCB1ED03E0}">
  <dimension ref="J2"/>
  <sheetViews>
    <sheetView tabSelected="1" topLeftCell="B1" workbookViewId="0">
      <selection activeCell="L4" sqref="L4"/>
    </sheetView>
  </sheetViews>
  <sheetFormatPr defaultRowHeight="14.4" x14ac:dyDescent="0.3"/>
  <sheetData>
    <row r="2" spans="10:10" ht="31.2" x14ac:dyDescent="0.6">
      <c r="J2" s="6" t="s">
        <v>635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superstore_data</vt:lpstr>
      <vt:lpstr>SALES BY CATEGORY</vt:lpstr>
      <vt:lpstr>MONTHLY TREND</vt:lpstr>
      <vt:lpstr>TOP CUSTOMER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Russel sarkar</cp:lastModifiedBy>
  <dcterms:created xsi:type="dcterms:W3CDTF">2026-04-06T06:49:18Z</dcterms:created>
  <dcterms:modified xsi:type="dcterms:W3CDTF">2026-04-06T14:27:27Z</dcterms:modified>
</cp:coreProperties>
</file>